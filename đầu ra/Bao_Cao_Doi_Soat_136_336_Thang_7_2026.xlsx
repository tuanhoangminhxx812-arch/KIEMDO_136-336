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PHAN_TICH_CHENH_LE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5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b val="1"/>
      <color rgb="00C000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9C0006"/>
      <sz val="11"/>
    </font>
    <font>
      <name val="Calibri"/>
      <b val="1"/>
      <sz val="11"/>
    </font>
    <font>
      <name val="Calibri"/>
      <b val="1"/>
      <color rgb="00212529"/>
      <sz val="14"/>
    </font>
    <font>
      <name val="Calibri"/>
      <b val="1"/>
      <color rgb="00212529"/>
      <sz val="13"/>
    </font>
    <font>
      <name val="Calibri"/>
      <b val="1"/>
      <color rgb="00DC3545"/>
      <sz val="12"/>
    </font>
    <font>
      <name val="Calibri"/>
      <color rgb="001E3C72"/>
      <sz val="10.5"/>
    </font>
    <font>
      <name val="Calibri"/>
      <b val="1"/>
      <color rgb="00212529"/>
      <sz val="11"/>
    </font>
    <font>
      <name val="Calibri"/>
      <b val="1"/>
      <color rgb="006C757D"/>
      <sz val="10"/>
    </font>
    <font>
      <name val="Calibri"/>
      <color rgb="00212529"/>
      <sz val="10"/>
    </font>
    <font>
      <name val="Calibri"/>
      <i val="1"/>
      <color rgb="00198754"/>
      <sz val="10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C00000"/>
        <bgColor rgb="00C00000"/>
      </patternFill>
    </fill>
    <fill>
      <patternFill patternType="solid">
        <fgColor rgb="00FFC7CE"/>
        <bgColor rgb="00FFC7CE"/>
      </patternFill>
    </fill>
    <fill>
      <patternFill patternType="solid">
        <fgColor rgb="00D9E1F2"/>
        <bgColor rgb="00D9E1F2"/>
      </patternFill>
    </fill>
    <fill>
      <patternFill patternType="solid">
        <fgColor rgb="00EBF3FE"/>
        <bgColor rgb="00EBF3FE"/>
      </patternFill>
    </fill>
    <fill>
      <patternFill patternType="solid">
        <fgColor rgb="00F8F9FA"/>
        <bgColor rgb="00F8F9FA"/>
      </patternFill>
    </fill>
    <fill>
      <patternFill patternType="solid">
        <fgColor rgb="00D1E7DD"/>
        <bgColor rgb="00D1E7D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  <border>
      <left style="medium">
        <color rgb="001E3C72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2" pivotButton="0" quotePrefix="0" xfId="0"/>
    <xf numFmtId="164" fontId="6" fillId="5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6" borderId="3" applyAlignment="1" pivotButton="0" quotePrefix="0" xfId="0">
      <alignment horizontal="left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left" vertical="center" wrapText="1"/>
    </xf>
    <xf numFmtId="0" fontId="12" fillId="7" borderId="4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164" fontId="13" fillId="0" borderId="4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 wrapText="1"/>
    </xf>
    <xf numFmtId="0" fontId="14" fillId="8" borderId="4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25" customWidth="1" min="4" max="4"/>
    <col width="25" customWidth="1" min="5" max="5"/>
  </cols>
  <sheetData>
    <row r="1">
      <c r="A1" s="1" t="inlineStr">
        <is>
          <t>Bảng TH Chênh Lệch Từ Tháng 7/2026</t>
        </is>
      </c>
      <c r="E1" s="2" t="inlineStr">
        <is>
          <t>CHÊNH LỆCH</t>
        </is>
      </c>
    </row>
    <row r="2">
      <c r="A2" s="3" t="inlineStr">
        <is>
          <t>HCM</t>
        </is>
      </c>
      <c r="B2" s="3" t="inlineStr">
        <is>
          <t>Điện lực</t>
        </is>
      </c>
      <c r="C2" s="3" t="inlineStr">
        <is>
          <t>Nợ</t>
        </is>
      </c>
      <c r="D2" s="3" t="inlineStr">
        <is>
          <t>Có</t>
        </is>
      </c>
      <c r="E2" s="4" t="inlineStr">
        <is>
          <t>CHÊNH LỆCH</t>
        </is>
      </c>
    </row>
    <row r="3">
      <c r="A3" s="5" t="inlineStr">
        <is>
          <t>1363111</t>
        </is>
      </c>
      <c r="B3" s="5" t="inlineStr">
        <is>
          <t>3363111</t>
        </is>
      </c>
      <c r="C3" s="6" t="n">
        <v>-926272738075</v>
      </c>
      <c r="D3" s="6" t="n">
        <v>446418087938</v>
      </c>
      <c r="E3" s="7">
        <f>C3-D3</f>
        <v/>
      </c>
    </row>
    <row r="4">
      <c r="A4" s="5" t="inlineStr">
        <is>
          <t>1363112</t>
        </is>
      </c>
      <c r="B4" s="5" t="inlineStr">
        <is>
          <t>3363112</t>
        </is>
      </c>
      <c r="C4" s="6" t="n">
        <v>-4510359049</v>
      </c>
      <c r="D4" s="6" t="n">
        <v>-3795352626</v>
      </c>
      <c r="E4" s="7">
        <f>C4-D4</f>
        <v/>
      </c>
    </row>
    <row r="5">
      <c r="A5" s="5" t="inlineStr">
        <is>
          <t>136312</t>
        </is>
      </c>
      <c r="B5" s="5" t="inlineStr">
        <is>
          <t>336312</t>
        </is>
      </c>
      <c r="C5" s="6" t="n">
        <v>0</v>
      </c>
      <c r="D5" s="6" t="n">
        <v>0</v>
      </c>
      <c r="E5" s="6">
        <f>C5-D5</f>
        <v/>
      </c>
    </row>
    <row r="6">
      <c r="A6" s="5" t="inlineStr">
        <is>
          <t>136313</t>
        </is>
      </c>
      <c r="B6" s="5" t="inlineStr">
        <is>
          <t>336313</t>
        </is>
      </c>
      <c r="C6" s="6" t="n">
        <v>0</v>
      </c>
      <c r="D6" s="6" t="n">
        <v>0</v>
      </c>
      <c r="E6" s="6">
        <f>C6-D6</f>
        <v/>
      </c>
    </row>
    <row r="7">
      <c r="A7" s="5" t="inlineStr">
        <is>
          <t>136314</t>
        </is>
      </c>
      <c r="B7" s="5" t="inlineStr">
        <is>
          <t>336314</t>
        </is>
      </c>
      <c r="C7" s="6" t="n">
        <v>6490998952</v>
      </c>
      <c r="D7" s="6" t="n">
        <v>8891367286</v>
      </c>
      <c r="E7" s="7">
        <f>C7-D7</f>
        <v/>
      </c>
    </row>
    <row r="8">
      <c r="A8" s="5" t="inlineStr">
        <is>
          <t>136315</t>
        </is>
      </c>
      <c r="B8" s="5" t="inlineStr">
        <is>
          <t>336315</t>
        </is>
      </c>
      <c r="C8" s="6" t="n">
        <v>0</v>
      </c>
      <c r="D8" s="6" t="n">
        <v>0</v>
      </c>
      <c r="E8" s="6">
        <f>C8-D8</f>
        <v/>
      </c>
    </row>
    <row r="9">
      <c r="A9" s="5" t="inlineStr">
        <is>
          <t>136318</t>
        </is>
      </c>
      <c r="B9" s="5" t="inlineStr">
        <is>
          <t>336318</t>
        </is>
      </c>
      <c r="C9" s="6" t="n">
        <v>0</v>
      </c>
      <c r="D9" s="6" t="n">
        <v>0</v>
      </c>
      <c r="E9" s="6">
        <f>C9-D9</f>
        <v/>
      </c>
    </row>
    <row r="10">
      <c r="A10" s="5" t="inlineStr">
        <is>
          <t>136321</t>
        </is>
      </c>
      <c r="B10" s="5" t="inlineStr">
        <is>
          <t>336321</t>
        </is>
      </c>
      <c r="C10" s="6" t="n">
        <v>0</v>
      </c>
      <c r="D10" s="6" t="n">
        <v>0</v>
      </c>
      <c r="E10" s="6">
        <f>C10-D10</f>
        <v/>
      </c>
    </row>
    <row r="11">
      <c r="A11" s="5" t="inlineStr">
        <is>
          <t>136322</t>
        </is>
      </c>
      <c r="B11" s="5" t="inlineStr">
        <is>
          <t>336322</t>
        </is>
      </c>
      <c r="C11" s="6" t="n">
        <v>0</v>
      </c>
      <c r="D11" s="6" t="n">
        <v>0</v>
      </c>
      <c r="E11" s="6">
        <f>C11-D11</f>
        <v/>
      </c>
    </row>
    <row r="12">
      <c r="A12" s="5" t="inlineStr">
        <is>
          <t>136323</t>
        </is>
      </c>
      <c r="B12" s="5" t="inlineStr">
        <is>
          <t>336323</t>
        </is>
      </c>
      <c r="C12" s="6" t="n">
        <v>0</v>
      </c>
      <c r="D12" s="6" t="n">
        <v>0</v>
      </c>
      <c r="E12" s="6">
        <f>C12-D12</f>
        <v/>
      </c>
    </row>
    <row r="13">
      <c r="A13" s="5" t="inlineStr">
        <is>
          <t>136331</t>
        </is>
      </c>
      <c r="B13" s="5" t="inlineStr">
        <is>
          <t>336331</t>
        </is>
      </c>
      <c r="C13" s="6" t="n">
        <v>-332768778610</v>
      </c>
      <c r="D13" s="6" t="n">
        <v>-345308872699</v>
      </c>
      <c r="E13" s="7">
        <f>C13-D13</f>
        <v/>
      </c>
    </row>
    <row r="14">
      <c r="A14" s="5" t="inlineStr">
        <is>
          <t>136332</t>
        </is>
      </c>
      <c r="B14" s="5" t="inlineStr">
        <is>
          <t>336332</t>
        </is>
      </c>
      <c r="C14" s="6" t="n">
        <v>0</v>
      </c>
      <c r="D14" s="6" t="n">
        <v>0</v>
      </c>
      <c r="E14" s="6">
        <f>C14-D14</f>
        <v/>
      </c>
    </row>
    <row r="15">
      <c r="A15" s="5" t="inlineStr">
        <is>
          <t>136341</t>
        </is>
      </c>
      <c r="B15" s="5" t="inlineStr">
        <is>
          <t>336341</t>
        </is>
      </c>
      <c r="C15" s="6" t="n">
        <v>-521378943012</v>
      </c>
      <c r="D15" s="6" t="n">
        <v>-521378943012</v>
      </c>
      <c r="E15" s="6">
        <f>C15-D15</f>
        <v/>
      </c>
    </row>
    <row r="16">
      <c r="A16" s="5" t="inlineStr">
        <is>
          <t>136342</t>
        </is>
      </c>
      <c r="B16" s="5" t="inlineStr">
        <is>
          <t>336342</t>
        </is>
      </c>
      <c r="C16" s="6" t="n">
        <v>0</v>
      </c>
      <c r="D16" s="6" t="n">
        <v>0</v>
      </c>
      <c r="E16" s="6">
        <f>C16-D16</f>
        <v/>
      </c>
    </row>
    <row r="17">
      <c r="A17" s="5" t="inlineStr">
        <is>
          <t>136351</t>
        </is>
      </c>
      <c r="B17" s="5" t="inlineStr">
        <is>
          <t>336351</t>
        </is>
      </c>
      <c r="C17" s="6" t="n">
        <v>-16506012261</v>
      </c>
      <c r="D17" s="6" t="n">
        <v>-18253509928</v>
      </c>
      <c r="E17" s="7">
        <f>C17-D17</f>
        <v/>
      </c>
    </row>
    <row r="18">
      <c r="A18" s="5" t="inlineStr">
        <is>
          <t>136352</t>
        </is>
      </c>
      <c r="B18" s="5" t="inlineStr">
        <is>
          <t>336352</t>
        </is>
      </c>
      <c r="C18" s="6" t="n">
        <v>15555384491</v>
      </c>
      <c r="D18" s="6" t="n">
        <v>0</v>
      </c>
      <c r="E18" s="7">
        <f>C18-D18</f>
        <v/>
      </c>
    </row>
    <row r="19">
      <c r="A19" s="5" t="inlineStr">
        <is>
          <t>136358</t>
        </is>
      </c>
      <c r="B19" s="5" t="inlineStr">
        <is>
          <t>336358</t>
        </is>
      </c>
      <c r="C19" s="6" t="n">
        <v>1615521348756</v>
      </c>
      <c r="D19" s="6" t="n">
        <v>345802925881</v>
      </c>
      <c r="E19" s="7">
        <f>C19-D19</f>
        <v/>
      </c>
    </row>
    <row r="20">
      <c r="A20" s="5" t="inlineStr">
        <is>
          <t>1363611</t>
        </is>
      </c>
      <c r="B20" s="5" t="inlineStr">
        <is>
          <t>3363611</t>
        </is>
      </c>
      <c r="C20" s="6" t="n">
        <v>1937832476</v>
      </c>
      <c r="D20" s="6" t="n">
        <v>-180702121</v>
      </c>
      <c r="E20" s="7">
        <f>C20-D20</f>
        <v/>
      </c>
    </row>
    <row r="21">
      <c r="A21" s="5" t="inlineStr">
        <is>
          <t>1363612</t>
        </is>
      </c>
      <c r="B21" s="5" t="inlineStr">
        <is>
          <t>3363612</t>
        </is>
      </c>
      <c r="C21" s="6" t="n">
        <v>0</v>
      </c>
      <c r="D21" s="6" t="n">
        <v>0</v>
      </c>
      <c r="E21" s="6">
        <f>C21-D21</f>
        <v/>
      </c>
    </row>
    <row r="22">
      <c r="A22" s="5" t="inlineStr">
        <is>
          <t>1363613</t>
        </is>
      </c>
      <c r="B22" s="5" t="inlineStr">
        <is>
          <t>3363613</t>
        </is>
      </c>
      <c r="C22" s="6" t="n">
        <v>6402157202</v>
      </c>
      <c r="D22" s="6" t="n">
        <v>6399790387</v>
      </c>
      <c r="E22" s="7">
        <f>C22-D22</f>
        <v/>
      </c>
    </row>
    <row r="23">
      <c r="A23" s="5" t="inlineStr">
        <is>
          <t>1363614</t>
        </is>
      </c>
      <c r="B23" s="5" t="inlineStr">
        <is>
          <t>3363614</t>
        </is>
      </c>
      <c r="C23" s="6" t="n">
        <v>0</v>
      </c>
      <c r="D23" s="6" t="n">
        <v>0</v>
      </c>
      <c r="E23" s="6">
        <f>C23-D23</f>
        <v/>
      </c>
    </row>
    <row r="24">
      <c r="A24" s="5" t="inlineStr">
        <is>
          <t>1363721</t>
        </is>
      </c>
      <c r="B24" s="5" t="inlineStr">
        <is>
          <t>3363721</t>
        </is>
      </c>
      <c r="C24" s="6" t="n">
        <v>0</v>
      </c>
      <c r="D24" s="6" t="n">
        <v>0</v>
      </c>
      <c r="E24" s="6">
        <f>C24-D24</f>
        <v/>
      </c>
    </row>
    <row r="25">
      <c r="A25" s="5" t="inlineStr">
        <is>
          <t>1363728</t>
        </is>
      </c>
      <c r="B25" s="5" t="inlineStr">
        <is>
          <t>3363728</t>
        </is>
      </c>
      <c r="C25" s="6" t="n">
        <v>0</v>
      </c>
      <c r="D25" s="6" t="n">
        <v>0</v>
      </c>
      <c r="E25" s="6">
        <f>C25-D25</f>
        <v/>
      </c>
    </row>
    <row r="26">
      <c r="A26" s="5" t="inlineStr">
        <is>
          <t>13638111</t>
        </is>
      </c>
      <c r="B26" s="5" t="inlineStr">
        <is>
          <t>33638111</t>
        </is>
      </c>
      <c r="C26" s="6" t="n">
        <v>0</v>
      </c>
      <c r="D26" s="6" t="n">
        <v>0</v>
      </c>
      <c r="E26" s="6">
        <f>C26-D26</f>
        <v/>
      </c>
    </row>
    <row r="27">
      <c r="A27" s="5" t="inlineStr">
        <is>
          <t>13638118</t>
        </is>
      </c>
      <c r="B27" s="5" t="inlineStr">
        <is>
          <t>33638118</t>
        </is>
      </c>
      <c r="C27" s="6" t="n">
        <v>0</v>
      </c>
      <c r="D27" s="6" t="n">
        <v>0</v>
      </c>
      <c r="E27" s="6">
        <f>C27-D27</f>
        <v/>
      </c>
    </row>
    <row r="28">
      <c r="A28" s="5" t="inlineStr">
        <is>
          <t>13638161</t>
        </is>
      </c>
      <c r="B28" s="5" t="inlineStr">
        <is>
          <t>33638161</t>
        </is>
      </c>
      <c r="C28" s="6" t="n">
        <v>0</v>
      </c>
      <c r="D28" s="6" t="n">
        <v>0</v>
      </c>
      <c r="E28" s="6">
        <f>C28-D28</f>
        <v/>
      </c>
    </row>
    <row r="29">
      <c r="A29" s="5" t="inlineStr">
        <is>
          <t>1363818</t>
        </is>
      </c>
      <c r="B29" s="5" t="inlineStr">
        <is>
          <t>3363818</t>
        </is>
      </c>
      <c r="C29" s="6" t="n">
        <v>0</v>
      </c>
      <c r="D29" s="6" t="n">
        <v>0</v>
      </c>
      <c r="E29" s="6">
        <f>C29-D29</f>
        <v/>
      </c>
    </row>
    <row r="30">
      <c r="A30" s="5" t="inlineStr">
        <is>
          <t>1363821</t>
        </is>
      </c>
      <c r="B30" s="5" t="inlineStr">
        <is>
          <t>3363821</t>
        </is>
      </c>
      <c r="C30" s="6" t="n">
        <v>0</v>
      </c>
      <c r="D30" s="6" t="n">
        <v>0</v>
      </c>
      <c r="E30" s="6">
        <f>C30-D30</f>
        <v/>
      </c>
    </row>
    <row r="31">
      <c r="A31" s="5" t="inlineStr">
        <is>
          <t>13638221</t>
        </is>
      </c>
      <c r="B31" s="5" t="inlineStr">
        <is>
          <t>33638221</t>
        </is>
      </c>
      <c r="C31" s="6" t="n">
        <v>230121799</v>
      </c>
      <c r="D31" s="6" t="n">
        <v>230121799</v>
      </c>
      <c r="E31" s="6">
        <f>C31-D31</f>
        <v/>
      </c>
    </row>
    <row r="32">
      <c r="A32" s="5" t="inlineStr">
        <is>
          <t>13638222</t>
        </is>
      </c>
      <c r="B32" s="5" t="inlineStr">
        <is>
          <t>33638222</t>
        </is>
      </c>
      <c r="C32" s="6" t="n">
        <v>0</v>
      </c>
      <c r="D32" s="6" t="n">
        <v>0</v>
      </c>
      <c r="E32" s="6">
        <f>C32-D32</f>
        <v/>
      </c>
    </row>
    <row r="33">
      <c r="A33" s="5" t="inlineStr">
        <is>
          <t>13638223</t>
        </is>
      </c>
      <c r="B33" s="5" t="inlineStr">
        <is>
          <t>33638223</t>
        </is>
      </c>
      <c r="C33" s="6" t="n">
        <v>0</v>
      </c>
      <c r="D33" s="6" t="n">
        <v>0</v>
      </c>
      <c r="E33" s="6">
        <f>C33-D33</f>
        <v/>
      </c>
    </row>
    <row r="34">
      <c r="A34" s="5" t="inlineStr">
        <is>
          <t>1363823</t>
        </is>
      </c>
      <c r="B34" s="5" t="inlineStr">
        <is>
          <t>3363823</t>
        </is>
      </c>
      <c r="C34" s="6" t="n">
        <v>0</v>
      </c>
      <c r="D34" s="6" t="n">
        <v>0</v>
      </c>
      <c r="E34" s="6">
        <f>C34-D34</f>
        <v/>
      </c>
    </row>
    <row r="35">
      <c r="A35" s="5" t="inlineStr">
        <is>
          <t>1363825</t>
        </is>
      </c>
      <c r="B35" s="5" t="inlineStr">
        <is>
          <t>3363825</t>
        </is>
      </c>
      <c r="C35" s="6" t="n">
        <v>0</v>
      </c>
      <c r="D35" s="6" t="n">
        <v>0</v>
      </c>
      <c r="E35" s="6">
        <f>C35-D35</f>
        <v/>
      </c>
    </row>
    <row r="36">
      <c r="A36" s="5" t="inlineStr">
        <is>
          <t>1363827</t>
        </is>
      </c>
      <c r="B36" s="5" t="inlineStr">
        <is>
          <t>3363827</t>
        </is>
      </c>
      <c r="C36" s="6" t="n">
        <v>0</v>
      </c>
      <c r="D36" s="6" t="n">
        <v>0</v>
      </c>
      <c r="E36" s="6">
        <f>C36-D36</f>
        <v/>
      </c>
    </row>
    <row r="37">
      <c r="A37" s="5" t="inlineStr">
        <is>
          <t>1363828</t>
        </is>
      </c>
      <c r="B37" s="5" t="inlineStr">
        <is>
          <t>3363828</t>
        </is>
      </c>
      <c r="C37" s="6" t="n">
        <v>0</v>
      </c>
      <c r="D37" s="6" t="n">
        <v>0</v>
      </c>
      <c r="E37" s="6">
        <f>C37-D37</f>
        <v/>
      </c>
    </row>
    <row r="38">
      <c r="A38" s="5" t="inlineStr">
        <is>
          <t>1363829</t>
        </is>
      </c>
      <c r="B38" s="5" t="inlineStr">
        <is>
          <t>3363829</t>
        </is>
      </c>
      <c r="C38" s="6" t="n">
        <v>0</v>
      </c>
      <c r="D38" s="6" t="n">
        <v>0</v>
      </c>
      <c r="E38" s="6">
        <f>C38-D38</f>
        <v/>
      </c>
    </row>
    <row r="39">
      <c r="A39" s="5" t="inlineStr">
        <is>
          <t>1363841</t>
        </is>
      </c>
      <c r="B39" s="5" t="inlineStr">
        <is>
          <t>3363841</t>
        </is>
      </c>
      <c r="C39" s="6" t="n">
        <v>0</v>
      </c>
      <c r="D39" s="6" t="n">
        <v>0</v>
      </c>
      <c r="E39" s="6">
        <f>C39-D39</f>
        <v/>
      </c>
    </row>
    <row r="40">
      <c r="A40" s="5" t="inlineStr">
        <is>
          <t>1363842</t>
        </is>
      </c>
      <c r="B40" s="5" t="inlineStr">
        <is>
          <t>3363842</t>
        </is>
      </c>
      <c r="C40" s="6" t="n">
        <v>0</v>
      </c>
      <c r="D40" s="6" t="n">
        <v>0</v>
      </c>
      <c r="E40" s="6">
        <f>C40-D40</f>
        <v/>
      </c>
    </row>
    <row r="41">
      <c r="A41" s="5" t="inlineStr">
        <is>
          <t>1363843</t>
        </is>
      </c>
      <c r="B41" s="5" t="inlineStr">
        <is>
          <t>3363843</t>
        </is>
      </c>
      <c r="C41" s="6" t="n">
        <v>346171226</v>
      </c>
      <c r="D41" s="6" t="n">
        <v>346171226</v>
      </c>
      <c r="E41" s="6">
        <f>C41-D41</f>
        <v/>
      </c>
    </row>
    <row r="42">
      <c r="A42" s="5" t="inlineStr">
        <is>
          <t>1363844</t>
        </is>
      </c>
      <c r="B42" s="5" t="inlineStr">
        <is>
          <t>3363844</t>
        </is>
      </c>
      <c r="C42" s="6" t="n">
        <v>0</v>
      </c>
      <c r="D42" s="6" t="n">
        <v>0</v>
      </c>
      <c r="E42" s="6">
        <f>C42-D42</f>
        <v/>
      </c>
    </row>
    <row r="43">
      <c r="A43" s="5" t="inlineStr">
        <is>
          <t>1363845</t>
        </is>
      </c>
      <c r="B43" s="5" t="inlineStr">
        <is>
          <t>3363845</t>
        </is>
      </c>
      <c r="C43" s="6" t="n">
        <v>0</v>
      </c>
      <c r="D43" s="6" t="n">
        <v>0</v>
      </c>
      <c r="E43" s="6">
        <f>C43-D43</f>
        <v/>
      </c>
    </row>
    <row r="44">
      <c r="A44" s="5" t="inlineStr">
        <is>
          <t>1363847</t>
        </is>
      </c>
      <c r="B44" s="5" t="inlineStr">
        <is>
          <t>3363847</t>
        </is>
      </c>
      <c r="C44" s="6" t="n">
        <v>100809981</v>
      </c>
      <c r="D44" s="6" t="n">
        <v>100809981</v>
      </c>
      <c r="E44" s="6">
        <f>C44-D44</f>
        <v/>
      </c>
    </row>
    <row r="45">
      <c r="A45" s="5" t="inlineStr">
        <is>
          <t>1363848</t>
        </is>
      </c>
      <c r="B45" s="5" t="inlineStr">
        <is>
          <t>3363848</t>
        </is>
      </c>
      <c r="C45" s="6" t="n">
        <v>-2835508929</v>
      </c>
      <c r="D45" s="6" t="n">
        <v>-2835508929</v>
      </c>
      <c r="E45" s="6">
        <f>C45-D45</f>
        <v/>
      </c>
    </row>
    <row r="46">
      <c r="A46" s="5" t="inlineStr">
        <is>
          <t>1363883</t>
        </is>
      </c>
      <c r="B46" s="5" t="inlineStr">
        <is>
          <t>3363883</t>
        </is>
      </c>
      <c r="C46" s="6" t="n">
        <v>35669605405</v>
      </c>
      <c r="D46" s="6" t="n">
        <v>35669605405</v>
      </c>
      <c r="E46" s="6">
        <f>C46-D46</f>
        <v/>
      </c>
    </row>
    <row r="47">
      <c r="A47" s="5" t="inlineStr">
        <is>
          <t>1363888</t>
        </is>
      </c>
      <c r="B47" s="5" t="inlineStr">
        <is>
          <t>3363888</t>
        </is>
      </c>
      <c r="C47" s="6" t="n">
        <v>-9821257247</v>
      </c>
      <c r="D47" s="6" t="n">
        <v>0</v>
      </c>
      <c r="E47" s="7">
        <f>C47-D47</f>
        <v/>
      </c>
    </row>
    <row r="48">
      <c r="A48" s="5" t="inlineStr">
        <is>
          <t>136391</t>
        </is>
      </c>
      <c r="B48" s="5" t="inlineStr">
        <is>
          <t>336391</t>
        </is>
      </c>
      <c r="C48" s="6" t="n">
        <v>-375462829</v>
      </c>
      <c r="D48" s="6" t="n">
        <v>-2522257803</v>
      </c>
      <c r="E48" s="7">
        <f>C48-D48</f>
        <v/>
      </c>
    </row>
    <row r="49">
      <c r="A49" s="5" t="inlineStr">
        <is>
          <t>136392</t>
        </is>
      </c>
      <c r="B49" s="5" t="inlineStr">
        <is>
          <t>336392</t>
        </is>
      </c>
      <c r="C49" s="6" t="n">
        <v>0</v>
      </c>
      <c r="D49" s="6" t="n">
        <v>0</v>
      </c>
      <c r="E49" s="6">
        <f>C49-D49</f>
        <v/>
      </c>
    </row>
    <row r="50">
      <c r="A50" s="5" t="inlineStr">
        <is>
          <t>136393</t>
        </is>
      </c>
      <c r="B50" s="5" t="inlineStr">
        <is>
          <t>336393</t>
        </is>
      </c>
      <c r="C50" s="6" t="n">
        <v>0</v>
      </c>
      <c r="D50" s="6" t="n">
        <v>0</v>
      </c>
      <c r="E50" s="6">
        <f>C50-D50</f>
        <v/>
      </c>
    </row>
    <row r="51">
      <c r="A51" s="5" t="inlineStr">
        <is>
          <t>13688</t>
        </is>
      </c>
      <c r="B51" s="5" t="inlineStr">
        <is>
          <t>33688</t>
        </is>
      </c>
      <c r="C51" s="6" t="n">
        <v>0</v>
      </c>
      <c r="D51" s="6" t="n">
        <v>-9821257247</v>
      </c>
      <c r="E51" s="7">
        <f>C51-D51</f>
        <v/>
      </c>
    </row>
    <row r="52">
      <c r="A52" s="5" t="inlineStr">
        <is>
          <t>33688</t>
        </is>
      </c>
      <c r="B52" s="5" t="inlineStr">
        <is>
          <t>13688</t>
        </is>
      </c>
      <c r="C52" s="6" t="n">
        <v>0</v>
      </c>
      <c r="D52" s="6" t="n">
        <v>0</v>
      </c>
      <c r="E52" s="6">
        <f>C52-D52</f>
        <v/>
      </c>
    </row>
    <row r="53">
      <c r="A53" s="5" t="inlineStr">
        <is>
          <t>3363888</t>
        </is>
      </c>
      <c r="B53" s="5" t="inlineStr">
        <is>
          <t>1363888</t>
        </is>
      </c>
      <c r="C53" s="6" t="n">
        <v>-165542400</v>
      </c>
      <c r="D53" s="6" t="n">
        <v>-165542400</v>
      </c>
      <c r="E53" s="6">
        <f>C53-D53</f>
        <v/>
      </c>
    </row>
    <row r="54">
      <c r="A54" s="5" t="inlineStr">
        <is>
          <t>13681</t>
        </is>
      </c>
      <c r="B54" s="5" t="inlineStr">
        <is>
          <t>33681</t>
        </is>
      </c>
      <c r="C54" s="6" t="n">
        <v>8133430908</v>
      </c>
      <c r="D54" s="6" t="n">
        <v>8767045071</v>
      </c>
      <c r="E54" s="7">
        <f>C54-D54</f>
        <v/>
      </c>
    </row>
    <row r="55">
      <c r="A55" s="8" t="inlineStr">
        <is>
          <t>TỔNG CỘNG</t>
        </is>
      </c>
      <c r="B55" s="9" t="inlineStr"/>
      <c r="C55" s="10">
        <f>SUM(C3:C54)</f>
        <v/>
      </c>
      <c r="D55" s="10">
        <f>SUM(D3:D54)</f>
        <v/>
      </c>
      <c r="E55" s="10">
        <f>SUM(E3:E54)</f>
        <v/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45" customWidth="1" min="4" max="4"/>
    <col width="4" customWidth="1" min="5" max="5"/>
    <col width="14" customWidth="1" min="6" max="6"/>
    <col width="13" customWidth="1" min="7" max="7"/>
    <col width="22" customWidth="1" min="8" max="8"/>
    <col width="45" customWidth="1" min="9" max="9"/>
  </cols>
  <sheetData>
    <row r="1">
      <c r="A1" s="11" t="inlineStr">
        <is>
          <t>📋 BÁO CÁO PHÂN TÍCH CHI TIẾT CHÊNH LỆCH THEO TỪNG CẶP TÀI KHOẢN</t>
        </is>
      </c>
    </row>
    <row r="3">
      <c r="A3" s="12" t="inlineStr">
        <is>
          <t>🎯 Cặp Tài Khoản: 1363111 (HCM) ⇄ 3363111 (Điện lực)</t>
        </is>
      </c>
    </row>
    <row r="4">
      <c r="A4" s="13" t="inlineStr">
        <is>
          <t>Chênh lệch cuối kỳ: -1.372.690.826.013 VNĐ</t>
        </is>
      </c>
    </row>
    <row r="5" ht="22" customHeight="1">
      <c r="A5" s="14" t="inlineStr">
        <is>
          <t>💡 **Phân tích nguyên nhân chênh lệch (-1.372.690.826.013 VNĐ):** Phía HCM đã hạch toán 1 chứng từ CT **7796** (2.460.821.595 VNĐ) đã đối ứng với 3 chứng từ phía Điện lực (CT **2123**, CT **2152** và CT **2159** tháng 05/2026). Sau khi đối ứng: **Phía HCM bị thiếu 2 chứng từ** (CT **2392** k/c doanh thu điện 1.370.572.291.416 VNĐ và CT **2159** k/c thuế GTGT tháng 03/2026 2.118.534.597 VNĐ). Phía Điện lực đã hạch toán đầy đủ.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 ht="22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8">
      <c r="A8" s="16" t="inlineStr">
        <is>
          <t>🏛️ Bút Toán HCM Bị Thiếu (2 chứng từ)</t>
        </is>
      </c>
      <c r="F8" s="16" t="inlineStr">
        <is>
          <t>🏢 Bút Toán Điện Lực Bị Thiếu (1 chứng từ)</t>
        </is>
      </c>
    </row>
    <row r="9">
      <c r="A9" s="17" t="inlineStr">
        <is>
          <t>Ngày CT</t>
        </is>
      </c>
      <c r="B9" s="17" t="inlineStr">
        <is>
          <t>Số CT GL</t>
        </is>
      </c>
      <c r="C9" s="17" t="inlineStr">
        <is>
          <t>Số Tiền (VNĐ)</t>
        </is>
      </c>
      <c r="D9" s="17" t="inlineStr">
        <is>
          <t>Diễn Giải</t>
        </is>
      </c>
      <c r="E9" t="inlineStr"/>
      <c r="F9" s="17" t="inlineStr">
        <is>
          <t>Ngày CT</t>
        </is>
      </c>
      <c r="G9" s="17" t="inlineStr">
        <is>
          <t>Số CT GL</t>
        </is>
      </c>
      <c r="H9" s="17" t="inlineStr">
        <is>
          <t>Số Tiền (VNĐ)</t>
        </is>
      </c>
      <c r="I9" s="17" t="inlineStr">
        <is>
          <t>Diễn Giải</t>
        </is>
      </c>
    </row>
    <row r="10">
      <c r="A10" s="18" t="inlineStr">
        <is>
          <t>2026-07-31</t>
        </is>
      </c>
      <c r="B10" s="18" t="inlineStr">
        <is>
          <t>2392</t>
        </is>
      </c>
      <c r="C10" s="19" t="n">
        <v>1370572291416</v>
      </c>
      <c r="D10" s="20" t="inlineStr">
        <is>
          <t>K/c 51111 &gt; 3363111 (k/c doanh thu điện)</t>
        </is>
      </c>
      <c r="E10" t="inlineStr"/>
      <c r="F10" s="18" t="inlineStr">
        <is>
          <t>2026-07-31</t>
        </is>
      </c>
      <c r="G10" s="18" t="inlineStr">
        <is>
          <t>8121</t>
        </is>
      </c>
      <c r="H10" s="19" t="n">
        <v>86064000</v>
      </c>
      <c r="I10" s="20" t="inlineStr">
        <is>
          <t>KC thuế GTGT điều động tháng 7/2026 sang công nợ thuế GTGT điện</t>
        </is>
      </c>
    </row>
    <row r="11">
      <c r="A11" s="18" t="inlineStr">
        <is>
          <t>2026-07-31</t>
        </is>
      </c>
      <c r="B11" s="18" t="inlineStr">
        <is>
          <t>2159</t>
        </is>
      </c>
      <c r="C11" s="19" t="n">
        <v>2118534597</v>
      </c>
      <c r="D11" s="20" t="inlineStr">
        <is>
          <t>Kết chuyển tiền thuế GTGT Điện NLMT T03-2026</t>
        </is>
      </c>
      <c r="E11" t="inlineStr"/>
    </row>
    <row r="14">
      <c r="A14" s="12" t="inlineStr">
        <is>
          <t>🎯 Cặp Tài Khoản: 1363112 (HCM) ⇄ 3363112 (Điện lực)</t>
        </is>
      </c>
    </row>
    <row r="15">
      <c r="A15" s="13" t="inlineStr">
        <is>
          <t>Chênh lệch cuối kỳ: -715.006.423 VNĐ</t>
        </is>
      </c>
    </row>
    <row r="16" ht="22" customHeight="1">
      <c r="A16" s="14" t="inlineStr">
        <is>
          <t>💡 **Phân tích nguyên nhân chênh lệch (-715.006.423 VNĐ):** Phía Điện lực đã hạch toán chứng từ kết chuyển doanh thu công suất phản kháng (CT **2393**). **Phía HCM chưa hạch toán đối ứng nên phía HCM bị thiếu 1 chứng từ này.**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 ht="22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9">
      <c r="A19" s="16" t="inlineStr">
        <is>
          <t>🏛️ Bút Toán HCM Bị Thiếu (1 chứng từ)</t>
        </is>
      </c>
      <c r="F19" s="16" t="inlineStr">
        <is>
          <t>🏢 Bút Toán Điện Lực Bị Thiếu (0 chứng từ)</t>
        </is>
      </c>
    </row>
    <row r="20">
      <c r="A20" s="17" t="inlineStr">
        <is>
          <t>Ngày CT</t>
        </is>
      </c>
      <c r="B20" s="17" t="inlineStr">
        <is>
          <t>Số CT GL</t>
        </is>
      </c>
      <c r="C20" s="17" t="inlineStr">
        <is>
          <t>Số Tiền (VNĐ)</t>
        </is>
      </c>
      <c r="D20" s="17" t="inlineStr">
        <is>
          <t>Diễn Giải</t>
        </is>
      </c>
      <c r="E20" t="inlineStr"/>
      <c r="F20" s="17" t="inlineStr">
        <is>
          <t>Ngày CT</t>
        </is>
      </c>
      <c r="G20" s="17" t="inlineStr">
        <is>
          <t>Số CT GL</t>
        </is>
      </c>
      <c r="H20" s="17" t="inlineStr">
        <is>
          <t>Số Tiền (VNĐ)</t>
        </is>
      </c>
      <c r="I20" s="17" t="inlineStr">
        <is>
          <t>Diễn Giải</t>
        </is>
      </c>
    </row>
    <row r="21">
      <c r="A21" s="18" t="inlineStr">
        <is>
          <t>2026-07-31</t>
        </is>
      </c>
      <c r="B21" s="18" t="inlineStr">
        <is>
          <t>2393</t>
        </is>
      </c>
      <c r="C21" s="19" t="n">
        <v>715006423</v>
      </c>
      <c r="D21" s="20" t="inlineStr">
        <is>
          <t>K/c 51113 &gt; 3363112 (k/c dthu công suất phản kháng)</t>
        </is>
      </c>
      <c r="E21" t="inlineStr"/>
      <c r="F21" s="21" t="inlineStr">
        <is>
          <t>✅ Phía Điện lực đã hạch toán đầy đủ.</t>
        </is>
      </c>
      <c r="G21" s="22" t="n"/>
      <c r="H21" s="22" t="n"/>
      <c r="I21" s="22" t="n"/>
    </row>
    <row r="24">
      <c r="A24" s="12" t="inlineStr">
        <is>
          <t>🎯 Cặp Tài Khoản: 136314 (HCM) ⇄ 336314 (Điện lực)</t>
        </is>
      </c>
    </row>
    <row r="25">
      <c r="A25" s="13" t="inlineStr">
        <is>
          <t>Chênh lệch cuối kỳ: -2.400.368.334 VNĐ</t>
        </is>
      </c>
    </row>
    <row r="26" ht="22" customHeight="1">
      <c r="A26" s="14" t="inlineStr">
        <is>
          <t>💡 **Phân tích nguyên nhân chênh lệch (-2.400.368.334 VNĐ):** Phía Điện lực có 2 cặp bút toán âm - dương tự cấn trừ triệt tiêu (CT 2344, 2207, 2195). Sau khi cấn trừ: **Phía HCM bị thiếu 1 chứng từ kết chuyển CT 2394 (253.573.360 VNĐ)** và **phía Điện lực bị thiếu 1 chứng từ kết chuyển CT 7745 (2.146.794.974 VNĐ)**.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 ht="22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9">
      <c r="A29" s="16" t="inlineStr">
        <is>
          <t>🏛️ Bút Toán HCM Bị Thiếu (1 chứng từ)</t>
        </is>
      </c>
      <c r="F29" s="16" t="inlineStr">
        <is>
          <t>🏢 Bút Toán Điện Lực Bị Thiếu (1 chứng từ)</t>
        </is>
      </c>
    </row>
    <row r="30">
      <c r="A30" s="17" t="inlineStr">
        <is>
          <t>Ngày CT</t>
        </is>
      </c>
      <c r="B30" s="17" t="inlineStr">
        <is>
          <t>Số CT GL</t>
        </is>
      </c>
      <c r="C30" s="17" t="inlineStr">
        <is>
          <t>Số Tiền (VNĐ)</t>
        </is>
      </c>
      <c r="D30" s="17" t="inlineStr">
        <is>
          <t>Diễn Giải</t>
        </is>
      </c>
      <c r="E30" t="inlineStr"/>
      <c r="F30" s="17" t="inlineStr">
        <is>
          <t>Ngày CT</t>
        </is>
      </c>
      <c r="G30" s="17" t="inlineStr">
        <is>
          <t>Số CT GL</t>
        </is>
      </c>
      <c r="H30" s="17" t="inlineStr">
        <is>
          <t>Số Tiền (VNĐ)</t>
        </is>
      </c>
      <c r="I30" s="17" t="inlineStr">
        <is>
          <t>Diễn Giải</t>
        </is>
      </c>
    </row>
    <row r="31">
      <c r="A31" s="18" t="inlineStr">
        <is>
          <t>2026-07-31</t>
        </is>
      </c>
      <c r="B31" s="18" t="inlineStr">
        <is>
          <t>2394</t>
        </is>
      </c>
      <c r="C31" s="19" t="n">
        <v>253573360</v>
      </c>
      <c r="D31" s="20" t="inlineStr">
        <is>
          <t>K/c 5114 (QL dây, cáp) &gt; 3363114</t>
        </is>
      </c>
      <c r="E31" t="inlineStr"/>
      <c r="F31" s="18" t="inlineStr">
        <is>
          <t>2026-07-31</t>
        </is>
      </c>
      <c r="G31" s="18" t="inlineStr">
        <is>
          <t>7745</t>
        </is>
      </c>
      <c r="H31" s="19" t="n">
        <v>-2146794974</v>
      </c>
      <c r="I31" s="20" t="inlineStr">
        <is>
          <t>Hạch toán kết chuyển DT-CP DTT năm 2025_VT</t>
        </is>
      </c>
    </row>
    <row r="34">
      <c r="A34" s="12" t="inlineStr">
        <is>
          <t>🎯 Cặp Tài Khoản: 136331 (HCM) ⇄ 336331 (Điện lực)</t>
        </is>
      </c>
    </row>
    <row r="35">
      <c r="A35" s="13" t="inlineStr">
        <is>
          <t>Chênh lệch cuối kỳ: 12.540.094.089 VNĐ</t>
        </is>
      </c>
    </row>
    <row r="36" ht="22" customHeight="1">
      <c r="A36" s="14" t="inlineStr">
        <is>
          <t>💡 **Phân tích nguyên nhân chênh lệch (12.540.094.089 VNĐ):** Sau khi tự cấn trừ và ghép đối ứng tập chứng từ, phía HCM bị thiếu 1 chứng từ và phía Điện lực bị thiếu 3 chứng từ chưa hạch toán đối ứng đồng bộ.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 ht="22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9">
      <c r="A39" s="16" t="inlineStr">
        <is>
          <t>🏛️ Bút Toán HCM Bị Thiếu (1 chứng từ)</t>
        </is>
      </c>
      <c r="F39" s="16" t="inlineStr">
        <is>
          <t>🏢 Bút Toán Điện Lực Bị Thiếu (3 chứng từ)</t>
        </is>
      </c>
    </row>
    <row r="40">
      <c r="A40" s="17" t="inlineStr">
        <is>
          <t>Ngày CT</t>
        </is>
      </c>
      <c r="B40" s="17" t="inlineStr">
        <is>
          <t>Số CT GL</t>
        </is>
      </c>
      <c r="C40" s="17" t="inlineStr">
        <is>
          <t>Số Tiền (VNĐ)</t>
        </is>
      </c>
      <c r="D40" s="17" t="inlineStr">
        <is>
          <t>Diễn Giải</t>
        </is>
      </c>
      <c r="E40" t="inlineStr"/>
      <c r="F40" s="17" t="inlineStr">
        <is>
          <t>Ngày CT</t>
        </is>
      </c>
      <c r="G40" s="17" t="inlineStr">
        <is>
          <t>Số CT GL</t>
        </is>
      </c>
      <c r="H40" s="17" t="inlineStr">
        <is>
          <t>Số Tiền (VNĐ)</t>
        </is>
      </c>
      <c r="I40" s="17" t="inlineStr">
        <is>
          <t>Diễn Giải</t>
        </is>
      </c>
    </row>
    <row r="41">
      <c r="A41" s="18" t="inlineStr">
        <is>
          <t>2026-07-31</t>
        </is>
      </c>
      <c r="B41" s="18" t="inlineStr">
        <is>
          <t>2449</t>
        </is>
      </c>
      <c r="C41" s="19" t="n">
        <v>37000913624</v>
      </c>
      <c r="D41" s="20" t="inlineStr">
        <is>
          <t>Hạch toán món HCMC chuyển tiền cho SPC để hoàn trả tiền SPC vay</t>
        </is>
      </c>
      <c r="E41" t="inlineStr"/>
      <c r="F41" s="18" t="inlineStr">
        <is>
          <t>2026-07-01</t>
        </is>
      </c>
      <c r="G41" s="18" t="inlineStr">
        <is>
          <t>7919</t>
        </is>
      </c>
      <c r="H41" s="19" t="n">
        <v>2699427234</v>
      </c>
      <c r="I41" s="20" t="inlineStr">
        <is>
          <t>Cấp KHCB theo TTr 2407/TCKT ngày 24/6/2026</t>
        </is>
      </c>
    </row>
    <row r="42">
      <c r="E42" t="inlineStr"/>
      <c r="F42" s="18" t="inlineStr">
        <is>
          <t>2026-07-23</t>
        </is>
      </c>
      <c r="G42" s="18" t="inlineStr">
        <is>
          <t>7896</t>
        </is>
      </c>
      <c r="H42" s="19" t="n">
        <v>10620000</v>
      </c>
      <c r="I42" s="20" t="inlineStr">
        <is>
          <t>Cấp thuế GTGT theo TTr 2923/TCKT ngày 22/7/26 + Cấp KHCB theo TTr 2923/TCKT ngày 22/7/26</t>
        </is>
      </c>
    </row>
    <row r="43">
      <c r="E43" t="inlineStr"/>
      <c r="F43" s="18" t="inlineStr">
        <is>
          <t>2026-07-31</t>
        </is>
      </c>
      <c r="G43" s="18" t="inlineStr">
        <is>
          <t>7937</t>
        </is>
      </c>
      <c r="H43" s="19" t="n">
        <v>49541007713</v>
      </c>
      <c r="I43" s="20" t="inlineStr">
        <is>
          <t>Trả gốc SPC từ T7 đến T12.2025 - Cac khoan vay thuoc BRVT</t>
        </is>
      </c>
    </row>
    <row r="46">
      <c r="A46" s="12" t="inlineStr">
        <is>
          <t>🎯 Cặp Tài Khoản: 136351 (HCM) ⇄ 336351 (Điện lực)</t>
        </is>
      </c>
    </row>
    <row r="47">
      <c r="A47" s="13" t="inlineStr">
        <is>
          <t>Chênh lệch cuối kỳ: 1.747.497.667 VNĐ</t>
        </is>
      </c>
    </row>
    <row r="48" ht="22" customHeight="1">
      <c r="A48" s="14" t="inlineStr">
        <is>
          <t>💡 **Phân tích nguyên nhân chênh lệch (1.747.497.667 VNĐ):** Điện lực đã hạch toán 3 chứng từ (CT GL: 2111, 2111, 2426) nhưng **phía HCM chưa hạch toán đối ứng (phía HCM bị thiếu)**.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 ht="22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1">
      <c r="A51" s="16" t="inlineStr">
        <is>
          <t>🏛️ Bút Toán HCM Bị Thiếu (3 chứng từ)</t>
        </is>
      </c>
      <c r="F51" s="16" t="inlineStr">
        <is>
          <t>🏢 Bút Toán Điện Lực Bị Thiếu (0 chứng từ)</t>
        </is>
      </c>
    </row>
    <row r="52">
      <c r="A52" s="17" t="inlineStr">
        <is>
          <t>Ngày CT</t>
        </is>
      </c>
      <c r="B52" s="17" t="inlineStr">
        <is>
          <t>Số CT GL</t>
        </is>
      </c>
      <c r="C52" s="17" t="inlineStr">
        <is>
          <t>Số Tiền (VNĐ)</t>
        </is>
      </c>
      <c r="D52" s="17" t="inlineStr">
        <is>
          <t>Diễn Giải</t>
        </is>
      </c>
      <c r="E52" t="inlineStr"/>
      <c r="F52" s="17" t="inlineStr">
        <is>
          <t>Ngày CT</t>
        </is>
      </c>
      <c r="G52" s="17" t="inlineStr">
        <is>
          <t>Số CT GL</t>
        </is>
      </c>
      <c r="H52" s="17" t="inlineStr">
        <is>
          <t>Số Tiền (VNĐ)</t>
        </is>
      </c>
      <c r="I52" s="17" t="inlineStr">
        <is>
          <t>Diễn Giải</t>
        </is>
      </c>
    </row>
    <row r="53">
      <c r="A53" s="18" t="inlineStr">
        <is>
          <t>2026-07-29</t>
        </is>
      </c>
      <c r="B53" s="18" t="inlineStr">
        <is>
          <t>2111</t>
        </is>
      </c>
      <c r="C53" s="19" t="n">
        <v>-290152778</v>
      </c>
      <c r="D53" s="20" t="inlineStr">
        <is>
          <t>VTAD2608001_K/c CP SCL Công xa 7/2026</t>
        </is>
      </c>
      <c r="E53" t="inlineStr"/>
      <c r="F53" s="21" t="inlineStr">
        <is>
          <t>✅ Phía Điện lực đã hạch toán đầy đủ.</t>
        </is>
      </c>
      <c r="G53" s="22" t="n"/>
      <c r="H53" s="22" t="n"/>
      <c r="I53" s="22" t="n"/>
    </row>
    <row r="54">
      <c r="A54" s="18" t="inlineStr">
        <is>
          <t>2026-07-29</t>
        </is>
      </c>
      <c r="B54" s="18" t="inlineStr">
        <is>
          <t>2111</t>
        </is>
      </c>
      <c r="C54" s="19" t="n">
        <v>-554412343</v>
      </c>
      <c r="D54" s="20" t="inlineStr">
        <is>
          <t>VTAD2606002_K/c CP SCL LBFCO,FCO,LA 7/2026</t>
        </is>
      </c>
      <c r="E54" t="inlineStr"/>
    </row>
    <row r="55">
      <c r="A55" s="18" t="inlineStr">
        <is>
          <t>2026-07-31</t>
        </is>
      </c>
      <c r="B55" s="18" t="inlineStr">
        <is>
          <t>2426</t>
        </is>
      </c>
      <c r="C55" s="19" t="n">
        <v>-902932546</v>
      </c>
      <c r="D55" s="20" t="inlineStr">
        <is>
          <t>VTA2606001-SCL TU, TI Nam 2026-Dieu chinh CT2111-29.07.26</t>
        </is>
      </c>
      <c r="E55" t="inlineStr"/>
    </row>
    <row r="58">
      <c r="A58" s="12" t="inlineStr">
        <is>
          <t>🎯 Cặp Tài Khoản: 136352 (HCM) ⇄ 336352 (Điện lực)</t>
        </is>
      </c>
    </row>
    <row r="59">
      <c r="A59" s="13" t="inlineStr">
        <is>
          <t>Chênh lệch cuối kỳ: 15.555.384.491 VNĐ</t>
        </is>
      </c>
    </row>
    <row r="60" ht="22" customHeight="1">
      <c r="A60" s="14" t="inlineStr">
        <is>
          <t>💡 **Phân tích nguyên nhân chênh lệch (15.555.384.491 VNĐ):** HCM đã hạch toán 2 chứng từ (CT GL: 7977, 7977) nhưng **phía Điện lực chưa hạch toán đối ứng (phía Điện lực bị thiếu)**.</t>
        </is>
      </c>
      <c r="B60" s="15" t="n"/>
      <c r="C60" s="15" t="n"/>
      <c r="D60" s="15" t="n"/>
      <c r="E60" s="15" t="n"/>
      <c r="F60" s="15" t="n"/>
      <c r="G60" s="15" t="n"/>
      <c r="H60" s="15" t="n"/>
      <c r="I60" s="15" t="n"/>
    </row>
    <row r="61" ht="22" customHeight="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</row>
    <row r="63">
      <c r="A63" s="16" t="inlineStr">
        <is>
          <t>🏛️ Bút Toán HCM Bị Thiếu (0 chứng từ)</t>
        </is>
      </c>
      <c r="F63" s="16" t="inlineStr">
        <is>
          <t>🏢 Bút Toán Điện Lực Bị Thiếu (2 chứng từ)</t>
        </is>
      </c>
    </row>
    <row r="64">
      <c r="A64" s="17" t="inlineStr">
        <is>
          <t>Ngày CT</t>
        </is>
      </c>
      <c r="B64" s="17" t="inlineStr">
        <is>
          <t>Số CT GL</t>
        </is>
      </c>
      <c r="C64" s="17" t="inlineStr">
        <is>
          <t>Số Tiền (VNĐ)</t>
        </is>
      </c>
      <c r="D64" s="17" t="inlineStr">
        <is>
          <t>Diễn Giải</t>
        </is>
      </c>
      <c r="E64" t="inlineStr"/>
      <c r="F64" s="17" t="inlineStr">
        <is>
          <t>Ngày CT</t>
        </is>
      </c>
      <c r="G64" s="17" t="inlineStr">
        <is>
          <t>Số CT GL</t>
        </is>
      </c>
      <c r="H64" s="17" t="inlineStr">
        <is>
          <t>Số Tiền (VNĐ)</t>
        </is>
      </c>
      <c r="I64" s="17" t="inlineStr">
        <is>
          <t>Diễn Giải</t>
        </is>
      </c>
    </row>
    <row r="65">
      <c r="A65" s="21" t="inlineStr">
        <is>
          <t>✅ Phía HCM đã hạch toán đầy đủ.</t>
        </is>
      </c>
      <c r="B65" s="22" t="n"/>
      <c r="C65" s="22" t="n"/>
      <c r="D65" s="22" t="n"/>
      <c r="E65" t="inlineStr"/>
      <c r="F65" s="18" t="inlineStr">
        <is>
          <t>2026-07-31</t>
        </is>
      </c>
      <c r="G65" s="18" t="inlineStr">
        <is>
          <t>7977</t>
        </is>
      </c>
      <c r="H65" s="19" t="n">
        <v>6501103895</v>
      </c>
      <c r="I65" s="20" t="inlineStr">
        <is>
          <t>K/c chi phí khấu hao đơn vị chuyển về TCT tháng 7/2026 - vốn Vay</t>
        </is>
      </c>
    </row>
    <row r="66">
      <c r="E66" t="inlineStr"/>
      <c r="F66" s="18" t="inlineStr">
        <is>
          <t>2026-07-31</t>
        </is>
      </c>
      <c r="G66" s="18" t="inlineStr">
        <is>
          <t>7977</t>
        </is>
      </c>
      <c r="H66" s="19" t="n">
        <v>9054280596</v>
      </c>
      <c r="I66" s="20" t="inlineStr">
        <is>
          <t>K/c chi phí khấu hao đơn vị chuyển về TCT tháng 7/2026 - vốn NS</t>
        </is>
      </c>
    </row>
    <row r="69">
      <c r="A69" s="12" t="inlineStr">
        <is>
          <t>🎯 Cặp Tài Khoản: 136358 (HCM) ⇄ 336358 (Điện lực)</t>
        </is>
      </c>
    </row>
    <row r="70">
      <c r="A70" s="13" t="inlineStr">
        <is>
          <t>Chênh lệch cuối kỳ: 1.269.718.422.875 VNĐ</t>
        </is>
      </c>
    </row>
    <row r="71" ht="22" customHeight="1">
      <c r="A71" s="14" t="inlineStr">
        <is>
          <t>💡 **Phân tích nguyên nhân chênh lệch (1.269.718.422.875 VNĐ):** Phía Điện lực đã hạch toán chứng từ bù trừ chi phí điện mua nội bộ trong tháng (CT **2413**: 1.235.577.272.474 VNĐ) nhưng **phía HCM chưa hạch toán bù trừ đối ứng (phía HCM bị thiếu 1 chứng từ này)**. Các bút toán VTDD của Nam7Nh (CT 7939, 7769, 7768) và VTTB điều động 2 bên đã hạch toán đối ứng đầy đủ. Phần chênh lệch còn lại do bút toán kết chuyển công nợ T7 (CT **2429**: -44.5 tỷ VNĐ) và vay tài chính SPC (CT **2449**: +12.54 tỷ VNĐ) chưa đồng bộ.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</row>
    <row r="72" ht="22" customHeight="1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</row>
    <row r="74">
      <c r="A74" s="16" t="inlineStr">
        <is>
          <t>🏛️ Bút Toán HCM Bị Thiếu (4 chứng từ)</t>
        </is>
      </c>
      <c r="F74" s="16" t="inlineStr">
        <is>
          <t>🏢 Bút Toán Điện Lực Bị Thiếu (0 chứng từ)</t>
        </is>
      </c>
    </row>
    <row r="75">
      <c r="A75" s="17" t="inlineStr">
        <is>
          <t>Ngày CT</t>
        </is>
      </c>
      <c r="B75" s="17" t="inlineStr">
        <is>
          <t>Số CT GL</t>
        </is>
      </c>
      <c r="C75" s="17" t="inlineStr">
        <is>
          <t>Số Tiền (VNĐ)</t>
        </is>
      </c>
      <c r="D75" s="17" t="inlineStr">
        <is>
          <t>Diễn Giải</t>
        </is>
      </c>
      <c r="E75" t="inlineStr"/>
      <c r="F75" s="17" t="inlineStr">
        <is>
          <t>Ngày CT</t>
        </is>
      </c>
      <c r="G75" s="17" t="inlineStr">
        <is>
          <t>Số CT GL</t>
        </is>
      </c>
      <c r="H75" s="17" t="inlineStr">
        <is>
          <t>Số Tiền (VNĐ)</t>
        </is>
      </c>
      <c r="I75" s="17" t="inlineStr">
        <is>
          <t>Diễn Giải</t>
        </is>
      </c>
    </row>
    <row r="76">
      <c r="A76" s="18" t="inlineStr">
        <is>
          <t>2026-07-31</t>
        </is>
      </c>
      <c r="B76" s="18" t="inlineStr">
        <is>
          <t>2429</t>
        </is>
      </c>
      <c r="C76" s="19" t="n">
        <v>-44500540533</v>
      </c>
      <c r="D76" s="20" t="inlineStr">
        <is>
          <t>Kết chuyển công nợ nội bộ tháng 07/2026</t>
        </is>
      </c>
      <c r="E76" t="inlineStr"/>
      <c r="F76" s="21" t="inlineStr">
        <is>
          <t>✅ Phía Điện lực đã hạch toán đầy đủ.</t>
        </is>
      </c>
      <c r="G76" s="22" t="n"/>
      <c r="H76" s="22" t="n"/>
      <c r="I76" s="22" t="n"/>
    </row>
    <row r="77">
      <c r="A77" s="18" t="inlineStr">
        <is>
          <t>2026-07-31</t>
        </is>
      </c>
      <c r="B77" s="18" t="inlineStr">
        <is>
          <t>2150</t>
        </is>
      </c>
      <c r="C77" s="19" t="n">
        <v>-2180703957</v>
      </c>
      <c r="D77" s="20" t="inlineStr">
        <is>
          <t>Kết chuyển TK635111 về TCT qua TK công nợ 336358 tháng 7/2026</t>
        </is>
      </c>
      <c r="E77" t="inlineStr"/>
    </row>
    <row r="78">
      <c r="A78" s="18" t="inlineStr">
        <is>
          <t>2026-07-31</t>
        </is>
      </c>
      <c r="B78" s="18" t="inlineStr">
        <is>
          <t>2449</t>
        </is>
      </c>
      <c r="C78" s="19" t="n">
        <v>12540094089</v>
      </c>
      <c r="D78" s="20" t="inlineStr">
        <is>
          <t>Hạch toán món HCMC chuyển tiền cho SPC để hoàn trả tiền SPC vay</t>
        </is>
      </c>
      <c r="E78" t="inlineStr"/>
    </row>
    <row r="79">
      <c r="A79" s="18" t="inlineStr">
        <is>
          <t>2026-07-31</t>
        </is>
      </c>
      <c r="B79" s="18" t="inlineStr">
        <is>
          <t>2413</t>
        </is>
      </c>
      <c r="C79" s="19" t="n">
        <v>-1235577272474</v>
      </c>
      <c r="D79" s="20" t="inlineStr">
        <is>
          <t>HT bù trừ chi phí điện mua nội bộ trong tháng</t>
        </is>
      </c>
      <c r="E79" t="inlineStr"/>
    </row>
    <row r="82">
      <c r="A82" s="12" t="inlineStr">
        <is>
          <t>🎯 Cặp Tài Khoản: 1363611 (HCM) ⇄ 3363611 (Điện lực)</t>
        </is>
      </c>
    </row>
    <row r="83">
      <c r="A83" s="13" t="inlineStr">
        <is>
          <t>Chênh lệch cuối kỳ: 2.118.534.597 VNĐ</t>
        </is>
      </c>
    </row>
    <row r="84" ht="22" customHeight="1">
      <c r="A84" s="14" t="inlineStr">
        <is>
          <t>💡 **Phân tích nguyên nhân chênh lệch (2.118.534.597 VNĐ):** Điện lực đã hạch toán 1 chứng từ (CT GL: 2159) nhưng **phía HCM chưa hạch toán đối ứng (phía HCM bị thiếu)**.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</row>
    <row r="85" ht="22" customHeight="1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</row>
    <row r="87">
      <c r="A87" s="16" t="inlineStr">
        <is>
          <t>🏛️ Bút Toán HCM Bị Thiếu (1 chứng từ)</t>
        </is>
      </c>
      <c r="F87" s="16" t="inlineStr">
        <is>
          <t>🏢 Bút Toán Điện Lực Bị Thiếu (0 chứng từ)</t>
        </is>
      </c>
    </row>
    <row r="88">
      <c r="A88" s="17" t="inlineStr">
        <is>
          <t>Ngày CT</t>
        </is>
      </c>
      <c r="B88" s="17" t="inlineStr">
        <is>
          <t>Số CT GL</t>
        </is>
      </c>
      <c r="C88" s="17" t="inlineStr">
        <is>
          <t>Số Tiền (VNĐ)</t>
        </is>
      </c>
      <c r="D88" s="17" t="inlineStr">
        <is>
          <t>Diễn Giải</t>
        </is>
      </c>
      <c r="E88" t="inlineStr"/>
      <c r="F88" s="17" t="inlineStr">
        <is>
          <t>Ngày CT</t>
        </is>
      </c>
      <c r="G88" s="17" t="inlineStr">
        <is>
          <t>Số CT GL</t>
        </is>
      </c>
      <c r="H88" s="17" t="inlineStr">
        <is>
          <t>Số Tiền (VNĐ)</t>
        </is>
      </c>
      <c r="I88" s="17" t="inlineStr">
        <is>
          <t>Diễn Giải</t>
        </is>
      </c>
    </row>
    <row r="89">
      <c r="A89" s="18" t="inlineStr">
        <is>
          <t>2026-07-31</t>
        </is>
      </c>
      <c r="B89" s="18" t="inlineStr">
        <is>
          <t>2159</t>
        </is>
      </c>
      <c r="C89" s="19" t="n">
        <v>-2118534597</v>
      </c>
      <c r="D89" s="20" t="inlineStr">
        <is>
          <t>Kết chuyển tiền thuế GTGT Điện NLMT T03-2026</t>
        </is>
      </c>
      <c r="E89" t="inlineStr"/>
      <c r="F89" s="21" t="inlineStr">
        <is>
          <t>✅ Phía Điện lực đã hạch toán đầy đủ.</t>
        </is>
      </c>
      <c r="G89" s="22" t="n"/>
      <c r="H89" s="22" t="n"/>
      <c r="I89" s="22" t="n"/>
    </row>
    <row r="92">
      <c r="A92" s="12" t="inlineStr">
        <is>
          <t>🎯 Cặp Tài Khoản: 1363613 (HCM) ⇄ 3363613 (Điện lực)</t>
        </is>
      </c>
    </row>
    <row r="93">
      <c r="A93" s="13" t="inlineStr">
        <is>
          <t>Chênh lệch cuối kỳ: 2.366.815 VNĐ</t>
        </is>
      </c>
    </row>
    <row r="94" ht="22" customHeight="1">
      <c r="A94" s="14" t="inlineStr">
        <is>
          <t>💡 **Phân tích nguyên nhân chênh lệch (2.366.815 VNĐ):** Sau khi tự cấn trừ và ghép đối ứng tập chứng từ, phía HCM bị thiếu 1 chứng từ và phía Điện lực bị thiếu 1 chứng từ chưa hạch toán đối ứng đồng bộ.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</row>
    <row r="95" ht="22" customHeight="1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</row>
    <row r="97">
      <c r="A97" s="16" t="inlineStr">
        <is>
          <t>🏛️ Bút Toán HCM Bị Thiếu (1 chứng từ)</t>
        </is>
      </c>
      <c r="F97" s="16" t="inlineStr">
        <is>
          <t>🏢 Bút Toán Điện Lực Bị Thiếu (1 chứng từ)</t>
        </is>
      </c>
    </row>
    <row r="98">
      <c r="A98" s="17" t="inlineStr">
        <is>
          <t>Ngày CT</t>
        </is>
      </c>
      <c r="B98" s="17" t="inlineStr">
        <is>
          <t>Số CT GL</t>
        </is>
      </c>
      <c r="C98" s="17" t="inlineStr">
        <is>
          <t>Số Tiền (VNĐ)</t>
        </is>
      </c>
      <c r="D98" s="17" t="inlineStr">
        <is>
          <t>Diễn Giải</t>
        </is>
      </c>
      <c r="E98" t="inlineStr"/>
      <c r="F98" s="17" t="inlineStr">
        <is>
          <t>Ngày CT</t>
        </is>
      </c>
      <c r="G98" s="17" t="inlineStr">
        <is>
          <t>Số CT GL</t>
        </is>
      </c>
      <c r="H98" s="17" t="inlineStr">
        <is>
          <t>Số Tiền (VNĐ)</t>
        </is>
      </c>
      <c r="I98" s="17" t="inlineStr">
        <is>
          <t>Diễn Giải</t>
        </is>
      </c>
    </row>
    <row r="99">
      <c r="A99" s="18" t="inlineStr">
        <is>
          <t>2026-07-02</t>
        </is>
      </c>
      <c r="B99" s="18" t="inlineStr">
        <is>
          <t>2194</t>
        </is>
      </c>
      <c r="C99" s="19" t="n">
        <v>-2366815</v>
      </c>
      <c r="D99" s="20" t="inlineStr">
        <is>
          <t>Chuyển tiền thuế GTGT đã cấp về HCMC CT23009</t>
        </is>
      </c>
      <c r="E99" t="inlineStr"/>
      <c r="F99" s="18" t="inlineStr">
        <is>
          <t>2026-07-23</t>
        </is>
      </c>
      <c r="G99" s="18" t="inlineStr">
        <is>
          <t>7896</t>
        </is>
      </c>
      <c r="H99" s="19" t="n">
        <v>849600</v>
      </c>
      <c r="I99" s="20" t="inlineStr">
        <is>
          <t>Cấp thuế GTGT theo TTr 2923/TCKT ngày 22/7/26 + Cấp KHCB theo TTr 2923/TCKT ngày 22/7/26</t>
        </is>
      </c>
    </row>
    <row r="102">
      <c r="A102" s="12" t="inlineStr">
        <is>
          <t>🎯 Cặp Tài Khoản: 1363888 (HCM) ⇄ 3363888 (Điện lực)</t>
        </is>
      </c>
    </row>
    <row r="103">
      <c r="A103" s="13" t="inlineStr">
        <is>
          <t>Chênh lệch cuối kỳ: -9.821.257.247 VNĐ</t>
        </is>
      </c>
    </row>
    <row r="104" ht="22" customHeight="1">
      <c r="A104" s="14" t="inlineStr">
        <is>
          <t>💡 **Phân tích nguyên nhân chênh lệch:** Hạch toán lệch tài khoản đối ứng (HCM ghi TK 1363888, Điện lực ghi TK 33688 số tiền -9.455.518.323 VNĐ).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</row>
    <row r="105" ht="22" customHeight="1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</row>
    <row r="107">
      <c r="A107" s="16" t="inlineStr">
        <is>
          <t>🏛️ Bút Toán HCM Bị Thiếu (0 chứng từ)</t>
        </is>
      </c>
      <c r="F107" s="16" t="inlineStr">
        <is>
          <t>🏢 Bút Toán Điện Lực Bị Thiếu (0 chứng từ)</t>
        </is>
      </c>
    </row>
    <row r="108">
      <c r="A108" s="17" t="inlineStr">
        <is>
          <t>Ngày CT</t>
        </is>
      </c>
      <c r="B108" s="17" t="inlineStr">
        <is>
          <t>Số CT GL</t>
        </is>
      </c>
      <c r="C108" s="17" t="inlineStr">
        <is>
          <t>Số Tiền (VNĐ)</t>
        </is>
      </c>
      <c r="D108" s="17" t="inlineStr">
        <is>
          <t>Diễn Giải</t>
        </is>
      </c>
      <c r="E108" t="inlineStr"/>
      <c r="F108" s="17" t="inlineStr">
        <is>
          <t>Ngày CT</t>
        </is>
      </c>
      <c r="G108" s="17" t="inlineStr">
        <is>
          <t>Số CT GL</t>
        </is>
      </c>
      <c r="H108" s="17" t="inlineStr">
        <is>
          <t>Số Tiền (VNĐ)</t>
        </is>
      </c>
      <c r="I108" s="17" t="inlineStr">
        <is>
          <t>Diễn Giải</t>
        </is>
      </c>
    </row>
    <row r="109">
      <c r="A109" s="21" t="inlineStr">
        <is>
          <t>✅ Phía HCM đã hạch toán đầy đủ.</t>
        </is>
      </c>
      <c r="B109" s="22" t="n"/>
      <c r="C109" s="22" t="n"/>
      <c r="D109" s="22" t="n"/>
      <c r="E109" t="inlineStr"/>
      <c r="F109" s="21" t="inlineStr">
        <is>
          <t>✅ Phía Điện lực đã hạch toán đầy đủ.</t>
        </is>
      </c>
      <c r="G109" s="22" t="n"/>
      <c r="H109" s="22" t="n"/>
      <c r="I109" s="22" t="n"/>
    </row>
    <row r="112">
      <c r="A112" s="12" t="inlineStr">
        <is>
          <t>🎯 Cặp Tài Khoản: 136391 (HCM) ⇄ 336391 (Điện lực)</t>
        </is>
      </c>
    </row>
    <row r="113">
      <c r="A113" s="13" t="inlineStr">
        <is>
          <t>Chênh lệch cuối kỳ: 2.146.794.974 VNĐ</t>
        </is>
      </c>
    </row>
    <row r="114" ht="22" customHeight="1">
      <c r="A114" s="14" t="inlineStr">
        <is>
          <t>💡 **Phân tích nguyên nhân chênh lệch (2.146.794.974 VNĐ):** HCM đã hạch toán 1 chứng từ (CT GL: 7745) nhưng **phía Điện lực chưa hạch toán đối ứng (phía Điện lực bị thiếu)**.</t>
        </is>
      </c>
      <c r="B114" s="15" t="n"/>
      <c r="C114" s="15" t="n"/>
      <c r="D114" s="15" t="n"/>
      <c r="E114" s="15" t="n"/>
      <c r="F114" s="15" t="n"/>
      <c r="G114" s="15" t="n"/>
      <c r="H114" s="15" t="n"/>
      <c r="I114" s="15" t="n"/>
    </row>
    <row r="115" ht="22" customHeight="1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</row>
    <row r="117">
      <c r="A117" s="16" t="inlineStr">
        <is>
          <t>🏛️ Bút Toán HCM Bị Thiếu (0 chứng từ)</t>
        </is>
      </c>
      <c r="F117" s="16" t="inlineStr">
        <is>
          <t>🏢 Bút Toán Điện Lực Bị Thiếu (1 chứng từ)</t>
        </is>
      </c>
    </row>
    <row r="118">
      <c r="A118" s="17" t="inlineStr">
        <is>
          <t>Ngày CT</t>
        </is>
      </c>
      <c r="B118" s="17" t="inlineStr">
        <is>
          <t>Số CT GL</t>
        </is>
      </c>
      <c r="C118" s="17" t="inlineStr">
        <is>
          <t>Số Tiền (VNĐ)</t>
        </is>
      </c>
      <c r="D118" s="17" t="inlineStr">
        <is>
          <t>Diễn Giải</t>
        </is>
      </c>
      <c r="E118" t="inlineStr"/>
      <c r="F118" s="17" t="inlineStr">
        <is>
          <t>Ngày CT</t>
        </is>
      </c>
      <c r="G118" s="17" t="inlineStr">
        <is>
          <t>Số CT GL</t>
        </is>
      </c>
      <c r="H118" s="17" t="inlineStr">
        <is>
          <t>Số Tiền (VNĐ)</t>
        </is>
      </c>
      <c r="I118" s="17" t="inlineStr">
        <is>
          <t>Diễn Giải</t>
        </is>
      </c>
    </row>
    <row r="119">
      <c r="A119" s="21" t="inlineStr">
        <is>
          <t>✅ Phía HCM đã hạch toán đầy đủ.</t>
        </is>
      </c>
      <c r="B119" s="22" t="n"/>
      <c r="C119" s="22" t="n"/>
      <c r="D119" s="22" t="n"/>
      <c r="E119" t="inlineStr"/>
      <c r="F119" s="18" t="inlineStr">
        <is>
          <t>2026-07-31</t>
        </is>
      </c>
      <c r="G119" s="18" t="inlineStr">
        <is>
          <t>7745</t>
        </is>
      </c>
      <c r="H119" s="19" t="n">
        <v>2146794974</v>
      </c>
      <c r="I119" s="20" t="inlineStr">
        <is>
          <t>Hạch toán kết chuyển DT-CP DTT năm 2025_VT</t>
        </is>
      </c>
    </row>
    <row r="122">
      <c r="A122" s="12" t="inlineStr">
        <is>
          <t>🎯 Cặp Tài Khoản: 13688 (HCM) ⇄ 33688 (Điện lực)</t>
        </is>
      </c>
    </row>
    <row r="123">
      <c r="A123" s="13" t="inlineStr">
        <is>
          <t>Chênh lệch cuối kỳ: 9.821.257.247 VNĐ</t>
        </is>
      </c>
    </row>
    <row r="124" ht="22" customHeight="1">
      <c r="A124" s="14" t="inlineStr">
        <is>
          <t>💡 **Phân tích nguyên nhân chênh lệch:** Hạch toán lệch tài khoản đối ứng (HCM ghi TK 1363888, Điện lực ghi TK 33688 số tiền -9.455.518.323 VNĐ).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</row>
    <row r="125" ht="22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</row>
    <row r="127">
      <c r="A127" s="16" t="inlineStr">
        <is>
          <t>🏛️ Bút Toán HCM Bị Thiếu (0 chứng từ)</t>
        </is>
      </c>
      <c r="F127" s="16" t="inlineStr">
        <is>
          <t>🏢 Bút Toán Điện Lực Bị Thiếu (0 chứng từ)</t>
        </is>
      </c>
    </row>
    <row r="128">
      <c r="A128" s="17" t="inlineStr">
        <is>
          <t>Ngày CT</t>
        </is>
      </c>
      <c r="B128" s="17" t="inlineStr">
        <is>
          <t>Số CT GL</t>
        </is>
      </c>
      <c r="C128" s="17" t="inlineStr">
        <is>
          <t>Số Tiền (VNĐ)</t>
        </is>
      </c>
      <c r="D128" s="17" t="inlineStr">
        <is>
          <t>Diễn Giải</t>
        </is>
      </c>
      <c r="E128" t="inlineStr"/>
      <c r="F128" s="17" t="inlineStr">
        <is>
          <t>Ngày CT</t>
        </is>
      </c>
      <c r="G128" s="17" t="inlineStr">
        <is>
          <t>Số CT GL</t>
        </is>
      </c>
      <c r="H128" s="17" t="inlineStr">
        <is>
          <t>Số Tiền (VNĐ)</t>
        </is>
      </c>
      <c r="I128" s="17" t="inlineStr">
        <is>
          <t>Diễn Giải</t>
        </is>
      </c>
    </row>
    <row r="129">
      <c r="A129" s="21" t="inlineStr">
        <is>
          <t>✅ Phía HCM đã hạch toán đầy đủ.</t>
        </is>
      </c>
      <c r="B129" s="22" t="n"/>
      <c r="C129" s="22" t="n"/>
      <c r="D129" s="22" t="n"/>
      <c r="E129" t="inlineStr"/>
      <c r="F129" s="21" t="inlineStr">
        <is>
          <t>✅ Phía Điện lực đã hạch toán đầy đủ.</t>
        </is>
      </c>
      <c r="G129" s="22" t="n"/>
      <c r="H129" s="22" t="n"/>
      <c r="I129" s="22" t="n"/>
    </row>
    <row r="132">
      <c r="A132" s="12" t="inlineStr">
        <is>
          <t>🎯 Cặp Tài Khoản: 13681 (HCM) ⇄ 33681 (Điện lực)</t>
        </is>
      </c>
    </row>
    <row r="133">
      <c r="A133" s="13" t="inlineStr">
        <is>
          <t>Chênh lệch cuối kỳ: -633.614.163 VNĐ</t>
        </is>
      </c>
    </row>
    <row r="134" ht="22" customHeight="1">
      <c r="A134" s="14" t="inlineStr">
        <is>
          <t>💡 **Phân tích nguyên nhân chênh lệch (-633.614.163 VNĐ):** Điện lực đã hạch toán 32 chứng từ (CT GL: 2194, 2194, 2194) nhưng **phía HCM chưa hạch toán đối ứng (phía HCM bị thiếu)**.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</row>
    <row r="135" ht="22" customHeight="1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</row>
    <row r="137">
      <c r="A137" s="16" t="inlineStr">
        <is>
          <t>🏛️ Bút Toán HCM Bị Thiếu (32 chứng từ)</t>
        </is>
      </c>
      <c r="F137" s="16" t="inlineStr">
        <is>
          <t>🏢 Bút Toán Điện Lực Bị Thiếu (0 chứng từ)</t>
        </is>
      </c>
    </row>
    <row r="138">
      <c r="A138" s="17" t="inlineStr">
        <is>
          <t>Ngày CT</t>
        </is>
      </c>
      <c r="B138" s="17" t="inlineStr">
        <is>
          <t>Số CT GL</t>
        </is>
      </c>
      <c r="C138" s="17" t="inlineStr">
        <is>
          <t>Số Tiền (VNĐ)</t>
        </is>
      </c>
      <c r="D138" s="17" t="inlineStr">
        <is>
          <t>Diễn Giải</t>
        </is>
      </c>
      <c r="E138" t="inlineStr"/>
      <c r="F138" s="17" t="inlineStr">
        <is>
          <t>Ngày CT</t>
        </is>
      </c>
      <c r="G138" s="17" t="inlineStr">
        <is>
          <t>Số CT GL</t>
        </is>
      </c>
      <c r="H138" s="17" t="inlineStr">
        <is>
          <t>Số Tiền (VNĐ)</t>
        </is>
      </c>
      <c r="I138" s="17" t="inlineStr">
        <is>
          <t>Diễn Giải</t>
        </is>
      </c>
    </row>
    <row r="139">
      <c r="A139" s="18" t="inlineStr">
        <is>
          <t>2026-07-02</t>
        </is>
      </c>
      <c r="B139" s="18" t="inlineStr">
        <is>
          <t>2194</t>
        </is>
      </c>
      <c r="C139" s="19" t="n">
        <v>-265009971</v>
      </c>
      <c r="D139" s="20" t="inlineStr">
        <is>
          <t>Thanh toán tất toán CP CT ĐTXD - CP QLDA - CT23009</t>
        </is>
      </c>
      <c r="E139" t="inlineStr"/>
      <c r="F139" s="21" t="inlineStr">
        <is>
          <t>✅ Phía Điện lực đã hạch toán đầy đủ.</t>
        </is>
      </c>
      <c r="G139" s="22" t="n"/>
      <c r="H139" s="22" t="n"/>
      <c r="I139" s="22" t="n"/>
    </row>
    <row r="140">
      <c r="A140" s="18" t="inlineStr">
        <is>
          <t>2026-07-02</t>
        </is>
      </c>
      <c r="B140" s="18" t="inlineStr">
        <is>
          <t>2194</t>
        </is>
      </c>
      <c r="C140" s="19" t="n">
        <v>-178745132</v>
      </c>
      <c r="D140" s="20" t="inlineStr">
        <is>
          <t>Thanh toán tất toán CP CT ĐTXD - CP QLDA - CT23018</t>
        </is>
      </c>
      <c r="E140" t="inlineStr"/>
    </row>
    <row r="141">
      <c r="A141" s="18" t="inlineStr">
        <is>
          <t>2026-07-02</t>
        </is>
      </c>
      <c r="B141" s="18" t="inlineStr">
        <is>
          <t>2194</t>
        </is>
      </c>
      <c r="C141" s="19" t="n">
        <v>-312155008</v>
      </c>
      <c r="D141" s="20" t="inlineStr">
        <is>
          <t>Thanh toán tất toán CP CT ĐTXD - CPQLDA CT21002</t>
        </is>
      </c>
      <c r="E141" t="inlineStr"/>
    </row>
    <row r="142">
      <c r="A142" s="18" t="inlineStr">
        <is>
          <t>2026-07-02</t>
        </is>
      </c>
      <c r="B142" s="18" t="inlineStr">
        <is>
          <t>2194</t>
        </is>
      </c>
      <c r="C142" s="19" t="n">
        <v>-308130</v>
      </c>
      <c r="D142" s="20" t="inlineStr">
        <is>
          <t>Thanh toán tất toán CP CT ĐTXD - CP bảo hiểm lưu kho ĐVTC đền tiền Vật tư A cấp - CT23009</t>
        </is>
      </c>
      <c r="E142" t="inlineStr"/>
    </row>
    <row r="143">
      <c r="A143" s="18" t="inlineStr">
        <is>
          <t>2026-07-02</t>
        </is>
      </c>
      <c r="B143" s="18" t="inlineStr">
        <is>
          <t>2194</t>
        </is>
      </c>
      <c r="C143" s="19" t="n">
        <v>-603285984</v>
      </c>
      <c r="D143" s="20" t="inlineStr">
        <is>
          <t>Thanh toán tất toán CP CT ĐTXD - CPQLDA CT21017</t>
        </is>
      </c>
      <c r="E143" t="inlineStr"/>
    </row>
    <row r="144">
      <c r="A144" s="18" t="inlineStr">
        <is>
          <t>2026-07-02</t>
        </is>
      </c>
      <c r="B144" s="18" t="inlineStr">
        <is>
          <t>2194</t>
        </is>
      </c>
      <c r="C144" s="19" t="n">
        <v>-1016165</v>
      </c>
      <c r="D144" s="20" t="inlineStr">
        <is>
          <t>Thanh toán tất toán CP CT ĐTXD - CP bảo hiểm lưu kho, ĐVTC đền tiền Vật tư A cấp CT21002</t>
        </is>
      </c>
      <c r="E144" t="inlineStr"/>
    </row>
    <row r="145">
      <c r="A145" s="18" t="inlineStr">
        <is>
          <t>2026-07-02</t>
        </is>
      </c>
      <c r="B145" s="18" t="inlineStr">
        <is>
          <t>2194</t>
        </is>
      </c>
      <c r="C145" s="19" t="n">
        <v>-31039400</v>
      </c>
      <c r="D145" s="20" t="inlineStr">
        <is>
          <t>Thanh toán tất toán CP CT ĐTXD - CP vận chuyển - CT23009</t>
        </is>
      </c>
      <c r="E145" t="inlineStr"/>
    </row>
    <row r="146">
      <c r="A146" s="18" t="inlineStr">
        <is>
          <t>2026-07-02</t>
        </is>
      </c>
      <c r="B146" s="18" t="inlineStr">
        <is>
          <t>2194</t>
        </is>
      </c>
      <c r="C146" s="19" t="n">
        <v>-48568000</v>
      </c>
      <c r="D146" s="20" t="inlineStr">
        <is>
          <t>Thanh toán tất toán CP CT ĐTXD - CP thiết bị điều chuyển từ SXKD CT21002</t>
        </is>
      </c>
      <c r="E146" t="inlineStr"/>
    </row>
    <row r="147">
      <c r="A147" s="18" t="inlineStr">
        <is>
          <t>2026-07-02</t>
        </is>
      </c>
      <c r="B147" s="18" t="inlineStr">
        <is>
          <t>2194</t>
        </is>
      </c>
      <c r="C147" s="19" t="n">
        <v>-18000000</v>
      </c>
      <c r="D147" s="20" t="inlineStr">
        <is>
          <t>Thanh toán tất toán CP CT ĐTXD - CP vận chuyển - CT23018</t>
        </is>
      </c>
      <c r="E147" t="inlineStr"/>
    </row>
    <row r="148">
      <c r="A148" s="18" t="inlineStr">
        <is>
          <t>2026-07-02</t>
        </is>
      </c>
      <c r="B148" s="18" t="inlineStr">
        <is>
          <t>2194</t>
        </is>
      </c>
      <c r="C148" s="19" t="n">
        <v>-125371702</v>
      </c>
      <c r="D148" s="20" t="inlineStr">
        <is>
          <t>Thanh toán chi phí CT22033</t>
        </is>
      </c>
      <c r="E148" t="inlineStr"/>
    </row>
    <row r="149">
      <c r="A149" s="18" t="inlineStr">
        <is>
          <t>2026-07-02</t>
        </is>
      </c>
      <c r="B149" s="18" t="inlineStr">
        <is>
          <t>2194</t>
        </is>
      </c>
      <c r="C149" s="19" t="n">
        <v>-289871682</v>
      </c>
      <c r="D149" s="20" t="inlineStr">
        <is>
          <t>Thanh toán chi phí CT23007</t>
        </is>
      </c>
      <c r="E149" t="inlineStr"/>
    </row>
    <row r="150">
      <c r="A150" s="18" t="inlineStr">
        <is>
          <t>2026-07-02</t>
        </is>
      </c>
      <c r="B150" s="18" t="inlineStr">
        <is>
          <t>2194</t>
        </is>
      </c>
      <c r="C150" s="19" t="n">
        <v>-275458537</v>
      </c>
      <c r="D150" s="20" t="inlineStr">
        <is>
          <t>Thanh toán chi phí CT21007</t>
        </is>
      </c>
      <c r="E150" t="inlineStr"/>
    </row>
    <row r="151">
      <c r="A151" s="18" t="inlineStr">
        <is>
          <t>2026-07-02</t>
        </is>
      </c>
      <c r="B151" s="18" t="inlineStr">
        <is>
          <t>2194</t>
        </is>
      </c>
      <c r="C151" s="19" t="n">
        <v>-848733059</v>
      </c>
      <c r="D151" s="20" t="inlineStr">
        <is>
          <t>Thanh toán chi phí CT20009</t>
        </is>
      </c>
      <c r="E151" t="inlineStr"/>
    </row>
    <row r="152">
      <c r="A152" s="18" t="inlineStr">
        <is>
          <t>2026-07-02</t>
        </is>
      </c>
      <c r="B152" s="18" t="inlineStr">
        <is>
          <t>2194</t>
        </is>
      </c>
      <c r="C152" s="19" t="n">
        <v>-240595694</v>
      </c>
      <c r="D152" s="20" t="inlineStr">
        <is>
          <t>Thanh toán chi phí CT24006</t>
        </is>
      </c>
      <c r="E152" t="inlineStr"/>
    </row>
    <row r="153">
      <c r="A153" s="18" t="inlineStr">
        <is>
          <t>2026-07-02</t>
        </is>
      </c>
      <c r="B153" s="18" t="inlineStr">
        <is>
          <t>2194</t>
        </is>
      </c>
      <c r="C153" s="19" t="n">
        <v>-155287323</v>
      </c>
      <c r="D153" s="20" t="inlineStr">
        <is>
          <t>Thanh toán chi phí CT21055</t>
        </is>
      </c>
      <c r="E153" t="inlineStr"/>
    </row>
    <row r="154">
      <c r="A154" s="18" t="inlineStr">
        <is>
          <t>2026-07-07</t>
        </is>
      </c>
      <c r="B154" s="18" t="inlineStr">
        <is>
          <t>2132</t>
        </is>
      </c>
      <c r="C154" s="19" t="n">
        <v>292565243</v>
      </c>
      <c r="D154" s="20" t="inlineStr">
        <is>
          <t>SX-25039: Nhập Vtư từ SXKD điều chuyển qua Ctr 25039-Trang TBị đóng cắt Scada</t>
        </is>
      </c>
      <c r="E154" t="inlineStr"/>
    </row>
    <row r="155">
      <c r="A155" s="18" t="inlineStr">
        <is>
          <t>2026-07-07</t>
        </is>
      </c>
      <c r="B155" s="18" t="inlineStr">
        <is>
          <t>2132</t>
        </is>
      </c>
      <c r="C155" s="19" t="n">
        <v>-24025976</v>
      </c>
      <c r="D155" s="20" t="inlineStr">
        <is>
          <t>25039-SX:Xuất Vtư từ Ctr Trang TBị đóng cắt Scada đ/c trả lại kho SXKD do cấp thừa</t>
        </is>
      </c>
      <c r="E155" t="inlineStr"/>
    </row>
    <row r="156">
      <c r="A156" s="18" t="inlineStr">
        <is>
          <t>2026-07-14</t>
        </is>
      </c>
      <c r="B156" s="18" t="inlineStr">
        <is>
          <t>2128</t>
        </is>
      </c>
      <c r="C156" s="19" t="n">
        <v>14264000</v>
      </c>
      <c r="D156" s="20" t="inlineStr">
        <is>
          <t>SX-25039: Nhập Vtư từ SXKD điều chuyển qua Ctr 25039-Trang TBị đóng cắt Scada</t>
        </is>
      </c>
      <c r="E156" t="inlineStr"/>
    </row>
    <row r="157">
      <c r="A157" s="18" t="inlineStr">
        <is>
          <t>2026-07-14</t>
        </is>
      </c>
      <c r="B157" s="18" t="inlineStr">
        <is>
          <t>2128</t>
        </is>
      </c>
      <c r="C157" s="19" t="n">
        <v>119133842</v>
      </c>
      <c r="D157" s="20" t="inlineStr">
        <is>
          <t>SXKD-25018:Nhập Vtư từ SXKD điều chuyển qua Ctr 25018-Tụ bù trung thế 2025</t>
        </is>
      </c>
      <c r="E157" t="inlineStr"/>
    </row>
    <row r="158">
      <c r="A158" s="18" t="inlineStr">
        <is>
          <t>2026-07-15</t>
        </is>
      </c>
      <c r="B158" s="18" t="inlineStr">
        <is>
          <t>2133</t>
        </is>
      </c>
      <c r="C158" s="19" t="n">
        <v>12303466</v>
      </c>
      <c r="D158" s="20" t="inlineStr">
        <is>
          <t>SX-25018:Nhập Vtư từ SXKD điều chuyển qua Ctr 25018-Tụ bù trung thế 2025</t>
        </is>
      </c>
      <c r="E158" t="inlineStr"/>
    </row>
    <row r="159">
      <c r="A159" s="18" t="inlineStr">
        <is>
          <t>2026-07-16</t>
        </is>
      </c>
      <c r="B159" s="18" t="inlineStr">
        <is>
          <t>2134</t>
        </is>
      </c>
      <c r="C159" s="19" t="n">
        <v>-104673235</v>
      </c>
      <c r="D159" s="20" t="inlineStr">
        <is>
          <t>25017-SX:Xuất Vtư thừa từ Ctr 25017-Lộ ra Côn Đảo điều chuyển SXKD phục vụ SCTX</t>
        </is>
      </c>
      <c r="E159" t="inlineStr"/>
    </row>
    <row r="160">
      <c r="A160" s="18" t="inlineStr">
        <is>
          <t>2026-07-20</t>
        </is>
      </c>
      <c r="B160" s="18" t="inlineStr">
        <is>
          <t>2129</t>
        </is>
      </c>
      <c r="C160" s="19" t="n">
        <v>91276000</v>
      </c>
      <c r="D160" s="20" t="inlineStr">
        <is>
          <t>SX-25039:Nhập Vtư từ SXKD điều chuyển cho Ctr Ctr 25039-Trang TBị đóng cắt Scada</t>
        </is>
      </c>
      <c r="E160" t="inlineStr"/>
    </row>
    <row r="161">
      <c r="A161" s="18" t="inlineStr">
        <is>
          <t>2026-07-21</t>
        </is>
      </c>
      <c r="B161" s="18" t="inlineStr">
        <is>
          <t>2130</t>
        </is>
      </c>
      <c r="C161" s="19" t="n">
        <v>41322000</v>
      </c>
      <c r="D161" s="20" t="inlineStr">
        <is>
          <t>SX-25018:Nhập Vtư từ SXKD điều chuyển cho Ctr 25018-Tụ bù trung thế 2025</t>
        </is>
      </c>
      <c r="E161" t="inlineStr"/>
    </row>
    <row r="162">
      <c r="A162" s="18" t="inlineStr">
        <is>
          <t>2026-07-21</t>
        </is>
      </c>
      <c r="B162" s="18" t="inlineStr">
        <is>
          <t>2130</t>
        </is>
      </c>
      <c r="C162" s="19" t="n">
        <v>-267630000</v>
      </c>
      <c r="D162" s="20" t="inlineStr">
        <is>
          <t>24027-SX:Xuất Vtư từ Ctr 24027- CQT Tx.Phú Mỹ để điều chuyển qua SXKD</t>
        </is>
      </c>
      <c r="E162" t="inlineStr"/>
    </row>
    <row r="163">
      <c r="A163" s="18" t="inlineStr">
        <is>
          <t>2026-07-22</t>
        </is>
      </c>
      <c r="B163" s="18" t="inlineStr">
        <is>
          <t>2139</t>
        </is>
      </c>
      <c r="C163" s="19" t="n">
        <v>95719600</v>
      </c>
      <c r="D163" s="20" t="inlineStr">
        <is>
          <t>SX-25039:Nhập Vtư từ SXKD điều chuyển cho Ctr 25039- Trang TBị đóng cắt Scada</t>
        </is>
      </c>
      <c r="E163" t="inlineStr"/>
    </row>
    <row r="164">
      <c r="A164" s="18" t="inlineStr">
        <is>
          <t>2026-07-24</t>
        </is>
      </c>
      <c r="B164" s="18" t="inlineStr">
        <is>
          <t>2127</t>
        </is>
      </c>
      <c r="C164" s="19" t="n">
        <v>51954506</v>
      </c>
      <c r="D164" s="20" t="inlineStr">
        <is>
          <t>SX-25039:Nhập Vtư từ SXKD điều chuyển cho Ctr 25039-Trang TBị đóng cắt Scada</t>
        </is>
      </c>
      <c r="E164" t="inlineStr"/>
    </row>
    <row r="165">
      <c r="A165" s="18" t="inlineStr">
        <is>
          <t>2026-07-24</t>
        </is>
      </c>
      <c r="B165" s="18" t="inlineStr">
        <is>
          <t>2127</t>
        </is>
      </c>
      <c r="C165" s="19" t="n">
        <v>13378750</v>
      </c>
      <c r="D165" s="20" t="inlineStr">
        <is>
          <t>SX-25039:Nhập Vtư từ SXKD điều chuyển cho Ctr 25039-Trang TBị đóng cắt Scada</t>
        </is>
      </c>
      <c r="E165" t="inlineStr"/>
    </row>
    <row r="166">
      <c r="A166" s="18" t="inlineStr">
        <is>
          <t>2026-07-24</t>
        </is>
      </c>
      <c r="B166" s="18" t="inlineStr">
        <is>
          <t>2127</t>
        </is>
      </c>
      <c r="C166" s="19" t="n">
        <v>-817800</v>
      </c>
      <c r="D166" s="20" t="inlineStr">
        <is>
          <t>24029-SX:Xuất Vtư Ctr 24029-Lộ ra Tân Phước đ/chuyển SXKD phục vụ SCTX</t>
        </is>
      </c>
      <c r="E166" t="inlineStr"/>
    </row>
    <row r="167">
      <c r="A167" s="18" t="inlineStr">
        <is>
          <t>2026-07-30</t>
        </is>
      </c>
      <c r="B167" s="18" t="inlineStr">
        <is>
          <t>2131</t>
        </is>
      </c>
      <c r="C167" s="19" t="n">
        <v>12799411</v>
      </c>
      <c r="D167" s="20" t="inlineStr">
        <is>
          <t>SX-25039:Nhập Vtư từ SXKD điều chuyển qua Ctr 25039- Trang TBị đóng cắt Scada</t>
        </is>
      </c>
      <c r="E167" t="inlineStr"/>
    </row>
    <row r="168">
      <c r="A168" s="18" t="inlineStr">
        <is>
          <t>2026-07-31</t>
        </is>
      </c>
      <c r="B168" s="18" t="inlineStr">
        <is>
          <t>2157</t>
        </is>
      </c>
      <c r="C168" s="19" t="n">
        <v>7962963</v>
      </c>
      <c r="D168" s="20" t="inlineStr">
        <is>
          <t>Chi phí đặt ăn công tác ĐTXD_Hóa đơn 440/21.07.26</t>
        </is>
      </c>
      <c r="E168" t="inlineStr"/>
    </row>
    <row r="169">
      <c r="A169" s="18" t="inlineStr">
        <is>
          <t>2026-07-31</t>
        </is>
      </c>
      <c r="B169" s="18" t="inlineStr">
        <is>
          <t>2157</t>
        </is>
      </c>
      <c r="C169" s="19" t="n">
        <v>8473850</v>
      </c>
      <c r="D169" s="20" t="inlineStr">
        <is>
          <t>Chi phí đặt ăn công tác ĐTXD_Hóa đơn 600/29.07.26</t>
        </is>
      </c>
      <c r="E169" t="inlineStr"/>
    </row>
    <row r="170">
      <c r="A170" s="18" t="inlineStr">
        <is>
          <t>2026-07-31</t>
        </is>
      </c>
      <c r="B170" s="18" t="inlineStr">
        <is>
          <t>2157</t>
        </is>
      </c>
      <c r="C170" s="19" t="n">
        <v>4619000</v>
      </c>
      <c r="D170" s="20" t="inlineStr">
        <is>
          <t>Chi phí đặt ăn công tác ĐTXD_Hóa đơn 2161/30.07.26</t>
        </is>
      </c>
      <c r="E170" t="inlineStr"/>
    </row>
  </sheetData>
  <mergeCells count="76">
    <mergeCell ref="A25:I25"/>
    <mergeCell ref="A8:D8"/>
    <mergeCell ref="A97:D97"/>
    <mergeCell ref="A46:I46"/>
    <mergeCell ref="A133:I133"/>
    <mergeCell ref="F39:I39"/>
    <mergeCell ref="A109:D109"/>
    <mergeCell ref="A29:D29"/>
    <mergeCell ref="A3:I3"/>
    <mergeCell ref="A19:D19"/>
    <mergeCell ref="A63:D63"/>
    <mergeCell ref="F117:I117"/>
    <mergeCell ref="A117:D117"/>
    <mergeCell ref="F107:I107"/>
    <mergeCell ref="A113:I113"/>
    <mergeCell ref="A47:I47"/>
    <mergeCell ref="F53:I53"/>
    <mergeCell ref="A127:D127"/>
    <mergeCell ref="A114:I115"/>
    <mergeCell ref="A14:I14"/>
    <mergeCell ref="A39:D39"/>
    <mergeCell ref="A48:I49"/>
    <mergeCell ref="F87:I87"/>
    <mergeCell ref="F29:I29"/>
    <mergeCell ref="A94:I95"/>
    <mergeCell ref="A122:I122"/>
    <mergeCell ref="A51:D51"/>
    <mergeCell ref="F19:I19"/>
    <mergeCell ref="A35:I35"/>
    <mergeCell ref="A4:I4"/>
    <mergeCell ref="F63:I63"/>
    <mergeCell ref="A84:I85"/>
    <mergeCell ref="A107:D107"/>
    <mergeCell ref="A60:I61"/>
    <mergeCell ref="F137:I137"/>
    <mergeCell ref="A36:I37"/>
    <mergeCell ref="A16:I17"/>
    <mergeCell ref="F89:I89"/>
    <mergeCell ref="A112:I112"/>
    <mergeCell ref="F127:I127"/>
    <mergeCell ref="A119:D119"/>
    <mergeCell ref="A93:I93"/>
    <mergeCell ref="F74:I74"/>
    <mergeCell ref="A102:I102"/>
    <mergeCell ref="A124:I125"/>
    <mergeCell ref="A87:D87"/>
    <mergeCell ref="F139:I139"/>
    <mergeCell ref="F21:I21"/>
    <mergeCell ref="A65:D65"/>
    <mergeCell ref="A58:I58"/>
    <mergeCell ref="A71:I72"/>
    <mergeCell ref="A34:I34"/>
    <mergeCell ref="F51:I51"/>
    <mergeCell ref="A83:I83"/>
    <mergeCell ref="A137:D137"/>
    <mergeCell ref="A92:I92"/>
    <mergeCell ref="A24:I24"/>
    <mergeCell ref="A26:I27"/>
    <mergeCell ref="A15:I15"/>
    <mergeCell ref="A59:I59"/>
    <mergeCell ref="F76:I76"/>
    <mergeCell ref="A82:I82"/>
    <mergeCell ref="A74:D74"/>
    <mergeCell ref="A103:I103"/>
    <mergeCell ref="F8:I8"/>
    <mergeCell ref="A5:I6"/>
    <mergeCell ref="F97:I97"/>
    <mergeCell ref="F109:I109"/>
    <mergeCell ref="A123:I123"/>
    <mergeCell ref="F129:I129"/>
    <mergeCell ref="A132:I132"/>
    <mergeCell ref="A70:I70"/>
    <mergeCell ref="A134:I135"/>
    <mergeCell ref="A104:I105"/>
    <mergeCell ref="A129:D129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2026-08-14T07:20:19Z</dcterms:created>
  <dcterms:modified xmlns:dcterms="http://purl.org/dc/terms/" xmlns:xsi="http://www.w3.org/2001/XMLSchema-instance" xsi:type="dcterms:W3CDTF">2026-08-14T07:20:19Z</dcterms:modified>
</cp:coreProperties>
</file>
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PHAN_TICH_CHENH_LE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C00000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C0006"/>
      <sz val="11"/>
    </font>
    <font>
      <name val="Calibri"/>
      <b val="1"/>
      <sz val="11"/>
    </font>
    <font>
      <name val="Calibri"/>
      <i val="1"/>
      <sz val="11"/>
    </font>
    <font>
      <name val="Calibri"/>
      <b val="1"/>
      <color rgb="00FFFFFF"/>
      <sz val="12"/>
    </font>
    <font>
      <name val="Calibri"/>
      <color rgb="001E3C72"/>
      <sz val="11"/>
    </font>
    <font>
      <name val="Calibri"/>
      <b val="1"/>
      <color rgb="001F497D"/>
      <sz val="11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EBF3FE"/>
        <bgColor rgb="00EBF3FE"/>
      </patternFill>
    </fill>
    <fill>
      <patternFill patternType="solid">
        <fgColor rgb="002A5298"/>
        <bgColor rgb="002A5298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2" pivotButton="0" quotePrefix="0" xfId="0"/>
    <xf numFmtId="164" fontId="6" fillId="5" borderId="2" applyAlignment="1" pivotButton="0" quotePrefix="0" xfId="0">
      <alignment horizontal="center" vertical="center"/>
    </xf>
    <xf numFmtId="0" fontId="1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7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 wrapText="1"/>
    </xf>
    <xf numFmtId="0" fontId="13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Bảng TH Chênh Lệch Từ Tháng 7/2026</t>
        </is>
      </c>
      <c r="E1" s="2" t="inlineStr">
        <is>
          <t>CHÊNH LỆCH</t>
        </is>
      </c>
    </row>
    <row r="2">
      <c r="A2" s="3" t="inlineStr">
        <is>
          <t>HCM</t>
        </is>
      </c>
      <c r="B2" s="3" t="inlineStr">
        <is>
          <t>Điện lực</t>
        </is>
      </c>
      <c r="C2" s="3" t="inlineStr">
        <is>
          <t>Nợ</t>
        </is>
      </c>
      <c r="D2" s="3" t="inlineStr">
        <is>
          <t>Có</t>
        </is>
      </c>
      <c r="E2" s="4" t="inlineStr">
        <is>
          <t>CHÊNH LỆCH</t>
        </is>
      </c>
    </row>
    <row r="3">
      <c r="A3" s="5" t="inlineStr">
        <is>
          <t>1363111</t>
        </is>
      </c>
      <c r="B3" s="5" t="inlineStr">
        <is>
          <t>3363111</t>
        </is>
      </c>
      <c r="C3" s="6" t="n">
        <v>-926272738075</v>
      </c>
      <c r="D3" s="6" t="n">
        <v>446418087938</v>
      </c>
      <c r="E3" s="7">
        <f>C3-D3</f>
        <v/>
      </c>
    </row>
    <row r="4">
      <c r="A4" s="5" t="inlineStr">
        <is>
          <t>1363112</t>
        </is>
      </c>
      <c r="B4" s="5" t="inlineStr">
        <is>
          <t>3363112</t>
        </is>
      </c>
      <c r="C4" s="6" t="n">
        <v>-4510359049</v>
      </c>
      <c r="D4" s="6" t="n">
        <v>-3795352626</v>
      </c>
      <c r="E4" s="7">
        <f>C4-D4</f>
        <v/>
      </c>
    </row>
    <row r="5">
      <c r="A5" s="5" t="inlineStr">
        <is>
          <t>136312</t>
        </is>
      </c>
      <c r="B5" s="5" t="inlineStr">
        <is>
          <t>336312</t>
        </is>
      </c>
      <c r="C5" s="6" t="n">
        <v>0</v>
      </c>
      <c r="D5" s="6" t="n">
        <v>0</v>
      </c>
      <c r="E5" s="6">
        <f>C5-D5</f>
        <v/>
      </c>
    </row>
    <row r="6">
      <c r="A6" s="5" t="inlineStr">
        <is>
          <t>136313</t>
        </is>
      </c>
      <c r="B6" s="5" t="inlineStr">
        <is>
          <t>336313</t>
        </is>
      </c>
      <c r="C6" s="6" t="n">
        <v>0</v>
      </c>
      <c r="D6" s="6" t="n">
        <v>0</v>
      </c>
      <c r="E6" s="6">
        <f>C6-D6</f>
        <v/>
      </c>
    </row>
    <row r="7">
      <c r="A7" s="5" t="inlineStr">
        <is>
          <t>136314</t>
        </is>
      </c>
      <c r="B7" s="5" t="inlineStr">
        <is>
          <t>336314</t>
        </is>
      </c>
      <c r="C7" s="6" t="n">
        <v>6490998952</v>
      </c>
      <c r="D7" s="6" t="n">
        <v>8891367286</v>
      </c>
      <c r="E7" s="7">
        <f>C7-D7</f>
        <v/>
      </c>
    </row>
    <row r="8">
      <c r="A8" s="5" t="inlineStr">
        <is>
          <t>136315</t>
        </is>
      </c>
      <c r="B8" s="5" t="inlineStr">
        <is>
          <t>336315</t>
        </is>
      </c>
      <c r="C8" s="6" t="n">
        <v>0</v>
      </c>
      <c r="D8" s="6" t="n">
        <v>0</v>
      </c>
      <c r="E8" s="6">
        <f>C8-D8</f>
        <v/>
      </c>
    </row>
    <row r="9">
      <c r="A9" s="5" t="inlineStr">
        <is>
          <t>136318</t>
        </is>
      </c>
      <c r="B9" s="5" t="inlineStr">
        <is>
          <t>336318</t>
        </is>
      </c>
      <c r="C9" s="6" t="n">
        <v>0</v>
      </c>
      <c r="D9" s="6" t="n">
        <v>0</v>
      </c>
      <c r="E9" s="6">
        <f>C9-D9</f>
        <v/>
      </c>
    </row>
    <row r="10">
      <c r="A10" s="5" t="inlineStr">
        <is>
          <t>136321</t>
        </is>
      </c>
      <c r="B10" s="5" t="inlineStr">
        <is>
          <t>336321</t>
        </is>
      </c>
      <c r="C10" s="6" t="n">
        <v>0</v>
      </c>
      <c r="D10" s="6" t="n">
        <v>0</v>
      </c>
      <c r="E10" s="6">
        <f>C10-D10</f>
        <v/>
      </c>
    </row>
    <row r="11">
      <c r="A11" s="5" t="inlineStr">
        <is>
          <t>136322</t>
        </is>
      </c>
      <c r="B11" s="5" t="inlineStr">
        <is>
          <t>336322</t>
        </is>
      </c>
      <c r="C11" s="6" t="n">
        <v>0</v>
      </c>
      <c r="D11" s="6" t="n">
        <v>0</v>
      </c>
      <c r="E11" s="6">
        <f>C11-D11</f>
        <v/>
      </c>
    </row>
    <row r="12">
      <c r="A12" s="5" t="inlineStr">
        <is>
          <t>136323</t>
        </is>
      </c>
      <c r="B12" s="5" t="inlineStr">
        <is>
          <t>336323</t>
        </is>
      </c>
      <c r="C12" s="6" t="n">
        <v>0</v>
      </c>
      <c r="D12" s="6" t="n">
        <v>0</v>
      </c>
      <c r="E12" s="6">
        <f>C12-D12</f>
        <v/>
      </c>
    </row>
    <row r="13">
      <c r="A13" s="5" t="inlineStr">
        <is>
          <t>136331</t>
        </is>
      </c>
      <c r="B13" s="5" t="inlineStr">
        <is>
          <t>336331</t>
        </is>
      </c>
      <c r="C13" s="6" t="n">
        <v>-332768778610</v>
      </c>
      <c r="D13" s="6" t="n">
        <v>-345308872699</v>
      </c>
      <c r="E13" s="7">
        <f>C13-D13</f>
        <v/>
      </c>
    </row>
    <row r="14">
      <c r="A14" s="5" t="inlineStr">
        <is>
          <t>136332</t>
        </is>
      </c>
      <c r="B14" s="5" t="inlineStr">
        <is>
          <t>336332</t>
        </is>
      </c>
      <c r="C14" s="6" t="n">
        <v>0</v>
      </c>
      <c r="D14" s="6" t="n">
        <v>0</v>
      </c>
      <c r="E14" s="6">
        <f>C14-D14</f>
        <v/>
      </c>
    </row>
    <row r="15">
      <c r="A15" s="5" t="inlineStr">
        <is>
          <t>136341</t>
        </is>
      </c>
      <c r="B15" s="5" t="inlineStr">
        <is>
          <t>336341</t>
        </is>
      </c>
      <c r="C15" s="6" t="n">
        <v>-521378943012</v>
      </c>
      <c r="D15" s="6" t="n">
        <v>-521378943012</v>
      </c>
      <c r="E15" s="6">
        <f>C15-D15</f>
        <v/>
      </c>
    </row>
    <row r="16">
      <c r="A16" s="5" t="inlineStr">
        <is>
          <t>136342</t>
        </is>
      </c>
      <c r="B16" s="5" t="inlineStr">
        <is>
          <t>336342</t>
        </is>
      </c>
      <c r="C16" s="6" t="n">
        <v>0</v>
      </c>
      <c r="D16" s="6" t="n">
        <v>0</v>
      </c>
      <c r="E16" s="6">
        <f>C16-D16</f>
        <v/>
      </c>
    </row>
    <row r="17">
      <c r="A17" s="5" t="inlineStr">
        <is>
          <t>136351</t>
        </is>
      </c>
      <c r="B17" s="5" t="inlineStr">
        <is>
          <t>336351</t>
        </is>
      </c>
      <c r="C17" s="6" t="n">
        <v>-16506012261</v>
      </c>
      <c r="D17" s="6" t="n">
        <v>-18253509928</v>
      </c>
      <c r="E17" s="7">
        <f>C17-D17</f>
        <v/>
      </c>
    </row>
    <row r="18">
      <c r="A18" s="5" t="inlineStr">
        <is>
          <t>136352</t>
        </is>
      </c>
      <c r="B18" s="5" t="inlineStr">
        <is>
          <t>336352</t>
        </is>
      </c>
      <c r="C18" s="6" t="n">
        <v>15555384491</v>
      </c>
      <c r="D18" s="6" t="n">
        <v>0</v>
      </c>
      <c r="E18" s="7">
        <f>C18-D18</f>
        <v/>
      </c>
    </row>
    <row r="19">
      <c r="A19" s="5" t="inlineStr">
        <is>
          <t>136358</t>
        </is>
      </c>
      <c r="B19" s="5" t="inlineStr">
        <is>
          <t>336358</t>
        </is>
      </c>
      <c r="C19" s="6" t="n">
        <v>1615521348756</v>
      </c>
      <c r="D19" s="6" t="n">
        <v>345802925881</v>
      </c>
      <c r="E19" s="7">
        <f>C19-D19</f>
        <v/>
      </c>
    </row>
    <row r="20">
      <c r="A20" s="5" t="inlineStr">
        <is>
          <t>1363611</t>
        </is>
      </c>
      <c r="B20" s="5" t="inlineStr">
        <is>
          <t>3363611</t>
        </is>
      </c>
      <c r="C20" s="6" t="n">
        <v>1937832476</v>
      </c>
      <c r="D20" s="6" t="n">
        <v>-180702121</v>
      </c>
      <c r="E20" s="7">
        <f>C20-D20</f>
        <v/>
      </c>
    </row>
    <row r="21">
      <c r="A21" s="5" t="inlineStr">
        <is>
          <t>1363612</t>
        </is>
      </c>
      <c r="B21" s="5" t="inlineStr">
        <is>
          <t>3363612</t>
        </is>
      </c>
      <c r="C21" s="6" t="n">
        <v>0</v>
      </c>
      <c r="D21" s="6" t="n">
        <v>0</v>
      </c>
      <c r="E21" s="6">
        <f>C21-D21</f>
        <v/>
      </c>
    </row>
    <row r="22">
      <c r="A22" s="5" t="inlineStr">
        <is>
          <t>1363613</t>
        </is>
      </c>
      <c r="B22" s="5" t="inlineStr">
        <is>
          <t>3363613</t>
        </is>
      </c>
      <c r="C22" s="6" t="n">
        <v>6402157202</v>
      </c>
      <c r="D22" s="6" t="n">
        <v>6399790387</v>
      </c>
      <c r="E22" s="7">
        <f>C22-D22</f>
        <v/>
      </c>
    </row>
    <row r="23">
      <c r="A23" s="5" t="inlineStr">
        <is>
          <t>1363614</t>
        </is>
      </c>
      <c r="B23" s="5" t="inlineStr">
        <is>
          <t>3363614</t>
        </is>
      </c>
      <c r="C23" s="6" t="n">
        <v>0</v>
      </c>
      <c r="D23" s="6" t="n">
        <v>0</v>
      </c>
      <c r="E23" s="6">
        <f>C23-D23</f>
        <v/>
      </c>
    </row>
    <row r="24">
      <c r="A24" s="5" t="inlineStr">
        <is>
          <t>1363721</t>
        </is>
      </c>
      <c r="B24" s="5" t="inlineStr">
        <is>
          <t>3363721</t>
        </is>
      </c>
      <c r="C24" s="6" t="n">
        <v>0</v>
      </c>
      <c r="D24" s="6" t="n">
        <v>0</v>
      </c>
      <c r="E24" s="6">
        <f>C24-D24</f>
        <v/>
      </c>
    </row>
    <row r="25">
      <c r="A25" s="5" t="inlineStr">
        <is>
          <t>1363728</t>
        </is>
      </c>
      <c r="B25" s="5" t="inlineStr">
        <is>
          <t>3363728</t>
        </is>
      </c>
      <c r="C25" s="6" t="n">
        <v>0</v>
      </c>
      <c r="D25" s="6" t="n">
        <v>0</v>
      </c>
      <c r="E25" s="6">
        <f>C25-D25</f>
        <v/>
      </c>
    </row>
    <row r="26">
      <c r="A26" s="5" t="inlineStr">
        <is>
          <t>13638111</t>
        </is>
      </c>
      <c r="B26" s="5" t="inlineStr">
        <is>
          <t>33638111</t>
        </is>
      </c>
      <c r="C26" s="6" t="n">
        <v>0</v>
      </c>
      <c r="D26" s="6" t="n">
        <v>0</v>
      </c>
      <c r="E26" s="6">
        <f>C26-D26</f>
        <v/>
      </c>
    </row>
    <row r="27">
      <c r="A27" s="5" t="inlineStr">
        <is>
          <t>13638118</t>
        </is>
      </c>
      <c r="B27" s="5" t="inlineStr">
        <is>
          <t>33638118</t>
        </is>
      </c>
      <c r="C27" s="6" t="n">
        <v>0</v>
      </c>
      <c r="D27" s="6" t="n">
        <v>0</v>
      </c>
      <c r="E27" s="6">
        <f>C27-D27</f>
        <v/>
      </c>
    </row>
    <row r="28">
      <c r="A28" s="5" t="inlineStr">
        <is>
          <t>13638161</t>
        </is>
      </c>
      <c r="B28" s="5" t="inlineStr">
        <is>
          <t>33638161</t>
        </is>
      </c>
      <c r="C28" s="6" t="n">
        <v>0</v>
      </c>
      <c r="D28" s="6" t="n">
        <v>0</v>
      </c>
      <c r="E28" s="6">
        <f>C28-D28</f>
        <v/>
      </c>
    </row>
    <row r="29">
      <c r="A29" s="5" t="inlineStr">
        <is>
          <t>1363818</t>
        </is>
      </c>
      <c r="B29" s="5" t="inlineStr">
        <is>
          <t>3363818</t>
        </is>
      </c>
      <c r="C29" s="6" t="n">
        <v>0</v>
      </c>
      <c r="D29" s="6" t="n">
        <v>0</v>
      </c>
      <c r="E29" s="6">
        <f>C29-D29</f>
        <v/>
      </c>
    </row>
    <row r="30">
      <c r="A30" s="5" t="inlineStr">
        <is>
          <t>1363821</t>
        </is>
      </c>
      <c r="B30" s="5" t="inlineStr">
        <is>
          <t>3363821</t>
        </is>
      </c>
      <c r="C30" s="6" t="n">
        <v>0</v>
      </c>
      <c r="D30" s="6" t="n">
        <v>0</v>
      </c>
      <c r="E30" s="6">
        <f>C30-D30</f>
        <v/>
      </c>
    </row>
    <row r="31">
      <c r="A31" s="5" t="inlineStr">
        <is>
          <t>13638221</t>
        </is>
      </c>
      <c r="B31" s="5" t="inlineStr">
        <is>
          <t>33638221</t>
        </is>
      </c>
      <c r="C31" s="6" t="n">
        <v>230121799</v>
      </c>
      <c r="D31" s="6" t="n">
        <v>230121799</v>
      </c>
      <c r="E31" s="6">
        <f>C31-D31</f>
        <v/>
      </c>
    </row>
    <row r="32">
      <c r="A32" s="5" t="inlineStr">
        <is>
          <t>13638222</t>
        </is>
      </c>
      <c r="B32" s="5" t="inlineStr">
        <is>
          <t>33638222</t>
        </is>
      </c>
      <c r="C32" s="6" t="n">
        <v>0</v>
      </c>
      <c r="D32" s="6" t="n">
        <v>0</v>
      </c>
      <c r="E32" s="6">
        <f>C32-D32</f>
        <v/>
      </c>
    </row>
    <row r="33">
      <c r="A33" s="5" t="inlineStr">
        <is>
          <t>13638223</t>
        </is>
      </c>
      <c r="B33" s="5" t="inlineStr">
        <is>
          <t>33638223</t>
        </is>
      </c>
      <c r="C33" s="6" t="n">
        <v>0</v>
      </c>
      <c r="D33" s="6" t="n">
        <v>0</v>
      </c>
      <c r="E33" s="6">
        <f>C33-D33</f>
        <v/>
      </c>
    </row>
    <row r="34">
      <c r="A34" s="5" t="inlineStr">
        <is>
          <t>1363823</t>
        </is>
      </c>
      <c r="B34" s="5" t="inlineStr">
        <is>
          <t>3363823</t>
        </is>
      </c>
      <c r="C34" s="6" t="n">
        <v>0</v>
      </c>
      <c r="D34" s="6" t="n">
        <v>0</v>
      </c>
      <c r="E34" s="6">
        <f>C34-D34</f>
        <v/>
      </c>
    </row>
    <row r="35">
      <c r="A35" s="5" t="inlineStr">
        <is>
          <t>1363825</t>
        </is>
      </c>
      <c r="B35" s="5" t="inlineStr">
        <is>
          <t>3363825</t>
        </is>
      </c>
      <c r="C35" s="6" t="n">
        <v>0</v>
      </c>
      <c r="D35" s="6" t="n">
        <v>0</v>
      </c>
      <c r="E35" s="6">
        <f>C35-D35</f>
        <v/>
      </c>
    </row>
    <row r="36">
      <c r="A36" s="5" t="inlineStr">
        <is>
          <t>1363827</t>
        </is>
      </c>
      <c r="B36" s="5" t="inlineStr">
        <is>
          <t>3363827</t>
        </is>
      </c>
      <c r="C36" s="6" t="n">
        <v>0</v>
      </c>
      <c r="D36" s="6" t="n">
        <v>0</v>
      </c>
      <c r="E36" s="6">
        <f>C36-D36</f>
        <v/>
      </c>
    </row>
    <row r="37">
      <c r="A37" s="5" t="inlineStr">
        <is>
          <t>1363828</t>
        </is>
      </c>
      <c r="B37" s="5" t="inlineStr">
        <is>
          <t>3363828</t>
        </is>
      </c>
      <c r="C37" s="6" t="n">
        <v>0</v>
      </c>
      <c r="D37" s="6" t="n">
        <v>0</v>
      </c>
      <c r="E37" s="6">
        <f>C37-D37</f>
        <v/>
      </c>
    </row>
    <row r="38">
      <c r="A38" s="5" t="inlineStr">
        <is>
          <t>1363829</t>
        </is>
      </c>
      <c r="B38" s="5" t="inlineStr">
        <is>
          <t>3363829</t>
        </is>
      </c>
      <c r="C38" s="6" t="n">
        <v>0</v>
      </c>
      <c r="D38" s="6" t="n">
        <v>0</v>
      </c>
      <c r="E38" s="6">
        <f>C38-D38</f>
        <v/>
      </c>
    </row>
    <row r="39">
      <c r="A39" s="5" t="inlineStr">
        <is>
          <t>1363841</t>
        </is>
      </c>
      <c r="B39" s="5" t="inlineStr">
        <is>
          <t>3363841</t>
        </is>
      </c>
      <c r="C39" s="6" t="n">
        <v>0</v>
      </c>
      <c r="D39" s="6" t="n">
        <v>0</v>
      </c>
      <c r="E39" s="6">
        <f>C39-D39</f>
        <v/>
      </c>
    </row>
    <row r="40">
      <c r="A40" s="5" t="inlineStr">
        <is>
          <t>1363842</t>
        </is>
      </c>
      <c r="B40" s="5" t="inlineStr">
        <is>
          <t>3363842</t>
        </is>
      </c>
      <c r="C40" s="6" t="n">
        <v>0</v>
      </c>
      <c r="D40" s="6" t="n">
        <v>0</v>
      </c>
      <c r="E40" s="6">
        <f>C40-D40</f>
        <v/>
      </c>
    </row>
    <row r="41">
      <c r="A41" s="5" t="inlineStr">
        <is>
          <t>1363843</t>
        </is>
      </c>
      <c r="B41" s="5" t="inlineStr">
        <is>
          <t>3363843</t>
        </is>
      </c>
      <c r="C41" s="6" t="n">
        <v>346171226</v>
      </c>
      <c r="D41" s="6" t="n">
        <v>346171226</v>
      </c>
      <c r="E41" s="6">
        <f>C41-D41</f>
        <v/>
      </c>
    </row>
    <row r="42">
      <c r="A42" s="5" t="inlineStr">
        <is>
          <t>1363844</t>
        </is>
      </c>
      <c r="B42" s="5" t="inlineStr">
        <is>
          <t>3363844</t>
        </is>
      </c>
      <c r="C42" s="6" t="n">
        <v>0</v>
      </c>
      <c r="D42" s="6" t="n">
        <v>0</v>
      </c>
      <c r="E42" s="6">
        <f>C42-D42</f>
        <v/>
      </c>
    </row>
    <row r="43">
      <c r="A43" s="5" t="inlineStr">
        <is>
          <t>1363845</t>
        </is>
      </c>
      <c r="B43" s="5" t="inlineStr">
        <is>
          <t>3363845</t>
        </is>
      </c>
      <c r="C43" s="6" t="n">
        <v>0</v>
      </c>
      <c r="D43" s="6" t="n">
        <v>0</v>
      </c>
      <c r="E43" s="6">
        <f>C43-D43</f>
        <v/>
      </c>
    </row>
    <row r="44">
      <c r="A44" s="5" t="inlineStr">
        <is>
          <t>1363847</t>
        </is>
      </c>
      <c r="B44" s="5" t="inlineStr">
        <is>
          <t>3363847</t>
        </is>
      </c>
      <c r="C44" s="6" t="n">
        <v>100809981</v>
      </c>
      <c r="D44" s="6" t="n">
        <v>100809981</v>
      </c>
      <c r="E44" s="6">
        <f>C44-D44</f>
        <v/>
      </c>
    </row>
    <row r="45">
      <c r="A45" s="5" t="inlineStr">
        <is>
          <t>1363848</t>
        </is>
      </c>
      <c r="B45" s="5" t="inlineStr">
        <is>
          <t>3363848</t>
        </is>
      </c>
      <c r="C45" s="6" t="n">
        <v>-2835508929</v>
      </c>
      <c r="D45" s="6" t="n">
        <v>-2835508929</v>
      </c>
      <c r="E45" s="6">
        <f>C45-D45</f>
        <v/>
      </c>
    </row>
    <row r="46">
      <c r="A46" s="5" t="inlineStr">
        <is>
          <t>1363883</t>
        </is>
      </c>
      <c r="B46" s="5" t="inlineStr">
        <is>
          <t>3363883</t>
        </is>
      </c>
      <c r="C46" s="6" t="n">
        <v>35669605405</v>
      </c>
      <c r="D46" s="6" t="n">
        <v>35669605405</v>
      </c>
      <c r="E46" s="6">
        <f>C46-D46</f>
        <v/>
      </c>
    </row>
    <row r="47">
      <c r="A47" s="5" t="inlineStr">
        <is>
          <t>1363888</t>
        </is>
      </c>
      <c r="B47" s="5" t="inlineStr">
        <is>
          <t>3363888</t>
        </is>
      </c>
      <c r="C47" s="6" t="n">
        <v>-9821257247</v>
      </c>
      <c r="D47" s="6" t="n">
        <v>0</v>
      </c>
      <c r="E47" s="7">
        <f>C47-D47</f>
        <v/>
      </c>
    </row>
    <row r="48">
      <c r="A48" s="5" t="inlineStr">
        <is>
          <t>136391</t>
        </is>
      </c>
      <c r="B48" s="5" t="inlineStr">
        <is>
          <t>336391</t>
        </is>
      </c>
      <c r="C48" s="6" t="n">
        <v>-375462829</v>
      </c>
      <c r="D48" s="6" t="n">
        <v>-2522257803</v>
      </c>
      <c r="E48" s="7">
        <f>C48-D48</f>
        <v/>
      </c>
    </row>
    <row r="49">
      <c r="A49" s="5" t="inlineStr">
        <is>
          <t>136392</t>
        </is>
      </c>
      <c r="B49" s="5" t="inlineStr">
        <is>
          <t>336392</t>
        </is>
      </c>
      <c r="C49" s="6" t="n">
        <v>0</v>
      </c>
      <c r="D49" s="6" t="n">
        <v>0</v>
      </c>
      <c r="E49" s="6">
        <f>C49-D49</f>
        <v/>
      </c>
    </row>
    <row r="50">
      <c r="A50" s="5" t="inlineStr">
        <is>
          <t>136393</t>
        </is>
      </c>
      <c r="B50" s="5" t="inlineStr">
        <is>
          <t>336393</t>
        </is>
      </c>
      <c r="C50" s="6" t="n">
        <v>0</v>
      </c>
      <c r="D50" s="6" t="n">
        <v>0</v>
      </c>
      <c r="E50" s="6">
        <f>C50-D50</f>
        <v/>
      </c>
    </row>
    <row r="51">
      <c r="A51" s="5" t="inlineStr">
        <is>
          <t>13688</t>
        </is>
      </c>
      <c r="B51" s="5" t="inlineStr">
        <is>
          <t>33688</t>
        </is>
      </c>
      <c r="C51" s="6" t="n">
        <v>0</v>
      </c>
      <c r="D51" s="6" t="n">
        <v>-9821257247</v>
      </c>
      <c r="E51" s="7">
        <f>C51-D51</f>
        <v/>
      </c>
    </row>
    <row r="52">
      <c r="A52" s="5" t="inlineStr">
        <is>
          <t>33688</t>
        </is>
      </c>
      <c r="B52" s="5" t="inlineStr">
        <is>
          <t>13688</t>
        </is>
      </c>
      <c r="C52" s="6" t="n">
        <v>0</v>
      </c>
      <c r="D52" s="6" t="n">
        <v>0</v>
      </c>
      <c r="E52" s="6">
        <f>C52-D52</f>
        <v/>
      </c>
    </row>
    <row r="53">
      <c r="A53" s="5" t="inlineStr">
        <is>
          <t>3363888</t>
        </is>
      </c>
      <c r="B53" s="5" t="inlineStr">
        <is>
          <t>1363888</t>
        </is>
      </c>
      <c r="C53" s="6" t="n">
        <v>-165542400</v>
      </c>
      <c r="D53" s="6" t="n">
        <v>-165542400</v>
      </c>
      <c r="E53" s="6">
        <f>C53-D53</f>
        <v/>
      </c>
    </row>
    <row r="54">
      <c r="A54" s="5" t="inlineStr">
        <is>
          <t>13681</t>
        </is>
      </c>
      <c r="B54" s="5" t="inlineStr">
        <is>
          <t>33681</t>
        </is>
      </c>
      <c r="C54" s="6" t="n">
        <v>8133430908</v>
      </c>
      <c r="D54" s="6" t="n">
        <v>8767045071</v>
      </c>
      <c r="E54" s="7">
        <f>C54-D54</f>
        <v/>
      </c>
    </row>
    <row r="55">
      <c r="A55" s="8" t="inlineStr">
        <is>
          <t>TỔNG CỘNG</t>
        </is>
      </c>
      <c r="B55" s="9" t="inlineStr"/>
      <c r="C55" s="10">
        <f>SUM(C3:C54)</f>
        <v/>
      </c>
      <c r="D55" s="10">
        <f>SUM(D3:D54)</f>
        <v/>
      </c>
      <c r="E55" s="10">
        <f>SUM(E3:E54)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4" customWidth="1" min="4" max="4"/>
    <col width="65" customWidth="1" min="5" max="5"/>
    <col width="22" customWidth="1" min="6" max="6"/>
  </cols>
  <sheetData>
    <row r="1">
      <c r="A1" s="11" t="inlineStr">
        <is>
          <t>BÁO CÁO PHÂN TÍCH CHI TIẾT NGUYÊN NHÂN GÂY CHÊNH LỆCH KẾ TOÁN</t>
        </is>
      </c>
    </row>
    <row r="2">
      <c r="A2" s="12" t="inlineStr">
        <is>
          <t>(Trình bày theo từng cặp tài khoản chênh lệch - trực quan như giao diện phần mềm)</t>
        </is>
      </c>
    </row>
    <row r="4">
      <c r="A4" s="13" t="inlineStr">
        <is>
          <t>🎯 CẶP TÀI KHOẢN: 1363111 (HCM) ⇄ 3363111 (Điện lực)</t>
        </is>
      </c>
    </row>
    <row r="5">
      <c r="A5" s="14" t="inlineStr">
        <is>
          <t>Chênh lệch cuối kỳ: -1.372.690.826.013 VNĐ</t>
        </is>
      </c>
    </row>
    <row r="6" ht="24" customHeight="1">
      <c r="A6" s="15" t="inlineStr">
        <is>
          <t>Phân tích nguyên nhân chênh lệch (-1.372.690.826.013 VNĐ): Phía HCM đã hạch toán 1 chứng từ CT 7796 (2.460.821.595 VNĐ) đã đối ứng với 3 chứng từ phía Điện lực (CT 2123, CT 2152 và CT 2159 tháng 05/2026). Sau khi đối ứng: Phía HCM bị thiếu 2 chứng từ (CT 2392 k/c doanh thu điện 1.370.572.291.416 VNĐ và CT 2159 k/c thuế GTGT tháng 03/2026 2.118.534.597 VNĐ). Phía Điện lực đã hạch toán đầy đủ.</t>
        </is>
      </c>
    </row>
    <row r="7" ht="24" customHeight="1"/>
    <row r="8">
      <c r="A8" s="16" t="inlineStr">
        <is>
          <t>🏛️ BÚT TOÁN HCM BỊ THIẾU (2 chứng từ)</t>
        </is>
      </c>
    </row>
    <row r="9">
      <c r="A9" s="17" t="inlineStr">
        <is>
          <t>STT</t>
        </is>
      </c>
      <c r="B9" s="17" t="inlineStr">
        <is>
          <t>Ngày CT</t>
        </is>
      </c>
      <c r="C9" s="17" t="inlineStr">
        <is>
          <t>Số CT GL</t>
        </is>
      </c>
      <c r="D9" s="17" t="inlineStr">
        <is>
          <t>Số Tiền (VNĐ)</t>
        </is>
      </c>
      <c r="E9" s="17" t="inlineStr">
        <is>
          <t>Diễn Giải Bút Toán</t>
        </is>
      </c>
      <c r="F9" s="17" t="inlineStr">
        <is>
          <t>Người Lập</t>
        </is>
      </c>
    </row>
    <row r="10">
      <c r="A10" s="18" t="n">
        <v>1</v>
      </c>
      <c r="B10" s="18" t="inlineStr">
        <is>
          <t>2026-07-31</t>
        </is>
      </c>
      <c r="C10" s="18" t="inlineStr">
        <is>
          <t>2392</t>
        </is>
      </c>
      <c r="D10" s="19" t="n">
        <v>1370572291416</v>
      </c>
      <c r="E10" s="20" t="inlineStr">
        <is>
          <t>K/c 51111 &gt; 3363111 (k/c doanh thu điện)</t>
        </is>
      </c>
      <c r="F10" s="18" t="inlineStr">
        <is>
          <t xml:space="preserve">DUYENTT.HCM.VTA </t>
        </is>
      </c>
    </row>
    <row r="11">
      <c r="A11" s="18" t="n">
        <v>2</v>
      </c>
      <c r="B11" s="18" t="inlineStr">
        <is>
          <t>2026-07-31</t>
        </is>
      </c>
      <c r="C11" s="18" t="inlineStr">
        <is>
          <t>2159</t>
        </is>
      </c>
      <c r="D11" s="19" t="n">
        <v>2118534597</v>
      </c>
      <c r="E11" s="20" t="inlineStr">
        <is>
          <t>Kết chuyển tiền thuế GTGT Điện NLMT T03-2026</t>
        </is>
      </c>
      <c r="F11" s="18" t="inlineStr">
        <is>
          <t xml:space="preserve">THAOPTT.HCM.VTA </t>
        </is>
      </c>
    </row>
    <row r="13">
      <c r="A13" s="16" t="inlineStr">
        <is>
          <t>🏢 BÚT TOÁN ĐIỆN LỰC BỊ THIẾU (1 chứng từ)</t>
        </is>
      </c>
    </row>
    <row r="14">
      <c r="A14" s="17" t="inlineStr">
        <is>
          <t>STT</t>
        </is>
      </c>
      <c r="B14" s="17" t="inlineStr">
        <is>
          <t>Ngày CT</t>
        </is>
      </c>
      <c r="C14" s="17" t="inlineStr">
        <is>
          <t>Số CT GL</t>
        </is>
      </c>
      <c r="D14" s="17" t="inlineStr">
        <is>
          <t>Số Tiền (VNĐ)</t>
        </is>
      </c>
      <c r="E14" s="17" t="inlineStr">
        <is>
          <t>Diễn Giải Bút Toán</t>
        </is>
      </c>
      <c r="F14" s="17" t="inlineStr">
        <is>
          <t>Người Lập</t>
        </is>
      </c>
    </row>
    <row r="15">
      <c r="A15" s="18" t="n">
        <v>1</v>
      </c>
      <c r="B15" s="18" t="inlineStr">
        <is>
          <t>2026-07-31</t>
        </is>
      </c>
      <c r="C15" s="18" t="inlineStr">
        <is>
          <t>8121</t>
        </is>
      </c>
      <c r="D15" s="19" t="n">
        <v>86064000</v>
      </c>
      <c r="E15" s="20" t="inlineStr">
        <is>
          <t>KC thuế GTGT điều động tháng 7/2026 sang công nợ thuế GTGT điện</t>
        </is>
      </c>
      <c r="F15" s="18" t="inlineStr">
        <is>
          <t xml:space="preserve">THIENDP.HCM.NG </t>
        </is>
      </c>
    </row>
    <row r="18">
      <c r="A18" s="13" t="inlineStr">
        <is>
          <t>🎯 CẶP TÀI KHOẢN: 1363112 (HCM) ⇄ 3363112 (Điện lực)</t>
        </is>
      </c>
    </row>
    <row r="19">
      <c r="A19" s="14" t="inlineStr">
        <is>
          <t>Chênh lệch cuối kỳ: -715.006.423 VNĐ</t>
        </is>
      </c>
    </row>
    <row r="20" ht="24" customHeight="1">
      <c r="A20" s="15" t="inlineStr">
        <is>
          <t>Phân tích nguyên nhân chênh lệch (-715.006.423 VNĐ): Phía Điện lực đã hạch toán chứng từ kết chuyển doanh thu công suất phản kháng (CT 2393). Phía HCM chưa hạch toán đối ứng nên phía HCM bị thiếu 1 chứng từ này.</t>
        </is>
      </c>
    </row>
    <row r="21" ht="24" customHeight="1"/>
    <row r="22">
      <c r="A22" s="16" t="inlineStr">
        <is>
          <t>🏛️ BÚT TOÁN HCM BỊ THIẾU (1 chứng từ)</t>
        </is>
      </c>
    </row>
    <row r="23">
      <c r="A23" s="17" t="inlineStr">
        <is>
          <t>STT</t>
        </is>
      </c>
      <c r="B23" s="17" t="inlineStr">
        <is>
          <t>Ngày CT</t>
        </is>
      </c>
      <c r="C23" s="17" t="inlineStr">
        <is>
          <t>Số CT GL</t>
        </is>
      </c>
      <c r="D23" s="17" t="inlineStr">
        <is>
          <t>Số Tiền (VNĐ)</t>
        </is>
      </c>
      <c r="E23" s="17" t="inlineStr">
        <is>
          <t>Diễn Giải Bút Toán</t>
        </is>
      </c>
      <c r="F23" s="17" t="inlineStr">
        <is>
          <t>Người Lập</t>
        </is>
      </c>
    </row>
    <row r="24">
      <c r="A24" s="18" t="n">
        <v>1</v>
      </c>
      <c r="B24" s="18" t="inlineStr">
        <is>
          <t>2026-07-31</t>
        </is>
      </c>
      <c r="C24" s="18" t="inlineStr">
        <is>
          <t>2393</t>
        </is>
      </c>
      <c r="D24" s="19" t="n">
        <v>715006423</v>
      </c>
      <c r="E24" s="20" t="inlineStr">
        <is>
          <t>K/c 51113 &gt; 3363112 (k/c dthu công suất phản kháng)</t>
        </is>
      </c>
      <c r="F24" s="18" t="inlineStr">
        <is>
          <t xml:space="preserve">DUYENTT.HCM.VTA </t>
        </is>
      </c>
    </row>
    <row r="26">
      <c r="A26" s="16" t="inlineStr">
        <is>
          <t>🏢 BÚT TOÁN ĐIỆN LỰC BỊ THIẾU (0 chứng từ)</t>
        </is>
      </c>
    </row>
    <row r="27">
      <c r="A27" s="17" t="inlineStr">
        <is>
          <t>STT</t>
        </is>
      </c>
      <c r="B27" s="17" t="inlineStr">
        <is>
          <t>Ngày CT</t>
        </is>
      </c>
      <c r="C27" s="17" t="inlineStr">
        <is>
          <t>Số CT GL</t>
        </is>
      </c>
      <c r="D27" s="17" t="inlineStr">
        <is>
          <t>Số Tiền (VNĐ)</t>
        </is>
      </c>
      <c r="E27" s="17" t="inlineStr">
        <is>
          <t>Diễn Giải Bút Toán</t>
        </is>
      </c>
      <c r="F27" s="17" t="inlineStr">
        <is>
          <t>Người Lập</t>
        </is>
      </c>
    </row>
    <row r="28">
      <c r="A28" s="21" t="inlineStr">
        <is>
          <t>✅ Phía Điện lực đã hạch toán đầy đủ.</t>
        </is>
      </c>
    </row>
    <row r="31">
      <c r="A31" s="13" t="inlineStr">
        <is>
          <t>🎯 CẶP TÀI KHOẢN: 136314 (HCM) ⇄ 336314 (Điện lực)</t>
        </is>
      </c>
    </row>
    <row r="32">
      <c r="A32" s="14" t="inlineStr">
        <is>
          <t>Chênh lệch cuối kỳ: -2.400.368.334 VNĐ</t>
        </is>
      </c>
    </row>
    <row r="33" ht="24" customHeight="1">
      <c r="A33" s="15" t="inlineStr">
        <is>
          <t>Phân tích nguyên nhân chênh lệch (-2.400.368.334 VNĐ): Phía Điện lực có 2 cặp bút toán âm - dương tự cấn trừ triệt tiêu (CT 2344, 2207, 2195). Sau khi cấn trừ: Phía HCM bị thiếu 1 chứng từ kết chuyển CT 2394 (253.573.360 VNĐ) và phía Điện lực bị thiếu 1 chứng từ kết chuyển CT 7745 (2.146.794.974 VNĐ).</t>
        </is>
      </c>
    </row>
    <row r="34" ht="24" customHeight="1"/>
    <row r="35">
      <c r="A35" s="16" t="inlineStr">
        <is>
          <t>🏛️ BÚT TOÁN HCM BỊ THIẾU (1 chứng từ)</t>
        </is>
      </c>
    </row>
    <row r="36">
      <c r="A36" s="17" t="inlineStr">
        <is>
          <t>STT</t>
        </is>
      </c>
      <c r="B36" s="17" t="inlineStr">
        <is>
          <t>Ngày CT</t>
        </is>
      </c>
      <c r="C36" s="17" t="inlineStr">
        <is>
          <t>Số CT GL</t>
        </is>
      </c>
      <c r="D36" s="17" t="inlineStr">
        <is>
          <t>Số Tiền (VNĐ)</t>
        </is>
      </c>
      <c r="E36" s="17" t="inlineStr">
        <is>
          <t>Diễn Giải Bút Toán</t>
        </is>
      </c>
      <c r="F36" s="17" t="inlineStr">
        <is>
          <t>Người Lập</t>
        </is>
      </c>
    </row>
    <row r="37">
      <c r="A37" s="18" t="n">
        <v>1</v>
      </c>
      <c r="B37" s="18" t="inlineStr">
        <is>
          <t>2026-07-31</t>
        </is>
      </c>
      <c r="C37" s="18" t="inlineStr">
        <is>
          <t>2394</t>
        </is>
      </c>
      <c r="D37" s="19" t="n">
        <v>253573360</v>
      </c>
      <c r="E37" s="20" t="inlineStr">
        <is>
          <t>K/c 5114 (QL dây, cáp) &gt; 3363114</t>
        </is>
      </c>
      <c r="F37" s="18" t="inlineStr">
        <is>
          <t xml:space="preserve">DUYENTT.HCM.VTA </t>
        </is>
      </c>
    </row>
    <row r="39">
      <c r="A39" s="16" t="inlineStr">
        <is>
          <t>🏢 BÚT TOÁN ĐIỆN LỰC BỊ THIẾU (1 chứng từ)</t>
        </is>
      </c>
    </row>
    <row r="40">
      <c r="A40" s="17" t="inlineStr">
        <is>
          <t>STT</t>
        </is>
      </c>
      <c r="B40" s="17" t="inlineStr">
        <is>
          <t>Ngày CT</t>
        </is>
      </c>
      <c r="C40" s="17" t="inlineStr">
        <is>
          <t>Số CT GL</t>
        </is>
      </c>
      <c r="D40" s="17" t="inlineStr">
        <is>
          <t>Số Tiền (VNĐ)</t>
        </is>
      </c>
      <c r="E40" s="17" t="inlineStr">
        <is>
          <t>Diễn Giải Bút Toán</t>
        </is>
      </c>
      <c r="F40" s="17" t="inlineStr">
        <is>
          <t>Người Lập</t>
        </is>
      </c>
    </row>
    <row r="41">
      <c r="A41" s="18" t="n">
        <v>1</v>
      </c>
      <c r="B41" s="18" t="inlineStr">
        <is>
          <t>2026-07-31</t>
        </is>
      </c>
      <c r="C41" s="18" t="inlineStr">
        <is>
          <t>7745</t>
        </is>
      </c>
      <c r="D41" s="19" t="n">
        <v>-2146794974</v>
      </c>
      <c r="E41" s="20" t="inlineStr">
        <is>
          <t>Hạch toán kết chuyển DT-CP DTT năm 2025_VT</t>
        </is>
      </c>
      <c r="F41" s="18" t="inlineStr">
        <is>
          <t xml:space="preserve">PHUONGNL.HCM.NG </t>
        </is>
      </c>
    </row>
    <row r="44">
      <c r="A44" s="13" t="inlineStr">
        <is>
          <t>🎯 CẶP TÀI KHOẢN: 136331 (HCM) ⇄ 336331 (Điện lực)</t>
        </is>
      </c>
    </row>
    <row r="45">
      <c r="A45" s="14" t="inlineStr">
        <is>
          <t>Chênh lệch cuối kỳ: 12.540.094.089 VNĐ</t>
        </is>
      </c>
    </row>
    <row r="46" ht="24" customHeight="1">
      <c r="A46" s="15" t="inlineStr">
        <is>
          <t>Phân tích nguyên nhân chênh lệch (12.540.094.089 VNĐ): Sau khi tự cấn trừ và ghép đối ứng tập chứng từ, phía HCM bị thiếu 1 chứng từ và phía Điện lực bị thiếu 3 chứng từ chưa hạch toán đối ứng đồng bộ.</t>
        </is>
      </c>
    </row>
    <row r="47" ht="24" customHeight="1"/>
    <row r="48">
      <c r="A48" s="16" t="inlineStr">
        <is>
          <t>🏛️ BÚT TOÁN HCM BỊ THIẾU (1 chứng từ)</t>
        </is>
      </c>
    </row>
    <row r="49">
      <c r="A49" s="17" t="inlineStr">
        <is>
          <t>STT</t>
        </is>
      </c>
      <c r="B49" s="17" t="inlineStr">
        <is>
          <t>Ngày CT</t>
        </is>
      </c>
      <c r="C49" s="17" t="inlineStr">
        <is>
          <t>Số CT GL</t>
        </is>
      </c>
      <c r="D49" s="17" t="inlineStr">
        <is>
          <t>Số Tiền (VNĐ)</t>
        </is>
      </c>
      <c r="E49" s="17" t="inlineStr">
        <is>
          <t>Diễn Giải Bút Toán</t>
        </is>
      </c>
      <c r="F49" s="17" t="inlineStr">
        <is>
          <t>Người Lập</t>
        </is>
      </c>
    </row>
    <row r="50">
      <c r="A50" s="18" t="n">
        <v>1</v>
      </c>
      <c r="B50" s="18" t="inlineStr">
        <is>
          <t>2026-07-31</t>
        </is>
      </c>
      <c r="C50" s="18" t="inlineStr">
        <is>
          <t>2449</t>
        </is>
      </c>
      <c r="D50" s="19" t="n">
        <v>37000913624</v>
      </c>
      <c r="E50" s="20" t="inlineStr">
        <is>
          <t>Hạch toán món HCMC chuyển tiền cho SPC để hoàn trả tiền SPC vay</t>
        </is>
      </c>
      <c r="F50" s="18" t="inlineStr">
        <is>
          <t xml:space="preserve">LINH3NTT.HCM.VTA </t>
        </is>
      </c>
    </row>
    <row r="52">
      <c r="A52" s="16" t="inlineStr">
        <is>
          <t>🏢 BÚT TOÁN ĐIỆN LỰC BỊ THIẾU (3 chứng từ)</t>
        </is>
      </c>
    </row>
    <row r="53">
      <c r="A53" s="17" t="inlineStr">
        <is>
          <t>STT</t>
        </is>
      </c>
      <c r="B53" s="17" t="inlineStr">
        <is>
          <t>Ngày CT</t>
        </is>
      </c>
      <c r="C53" s="17" t="inlineStr">
        <is>
          <t>Số CT GL</t>
        </is>
      </c>
      <c r="D53" s="17" t="inlineStr">
        <is>
          <t>Số Tiền (VNĐ)</t>
        </is>
      </c>
      <c r="E53" s="17" t="inlineStr">
        <is>
          <t>Diễn Giải Bút Toán</t>
        </is>
      </c>
      <c r="F53" s="17" t="inlineStr">
        <is>
          <t>Người Lập</t>
        </is>
      </c>
    </row>
    <row r="54">
      <c r="A54" s="18" t="n">
        <v>1</v>
      </c>
      <c r="B54" s="18" t="inlineStr">
        <is>
          <t>2026-07-01</t>
        </is>
      </c>
      <c r="C54" s="18" t="inlineStr">
        <is>
          <t>7919</t>
        </is>
      </c>
      <c r="D54" s="19" t="n">
        <v>2699427234</v>
      </c>
      <c r="E54" s="20" t="inlineStr">
        <is>
          <t>Cấp KHCB theo TTr 2407/TCKT ngày 24/6/2026</t>
        </is>
      </c>
      <c r="F54" s="18" t="inlineStr">
        <is>
          <t xml:space="preserve">VANL.HCM.NG </t>
        </is>
      </c>
    </row>
    <row r="55">
      <c r="A55" s="18" t="n">
        <v>2</v>
      </c>
      <c r="B55" s="18" t="inlineStr">
        <is>
          <t>2026-07-23</t>
        </is>
      </c>
      <c r="C55" s="18" t="inlineStr">
        <is>
          <t>7896</t>
        </is>
      </c>
      <c r="D55" s="19" t="n">
        <v>10620000</v>
      </c>
      <c r="E55" s="20" t="inlineStr">
        <is>
          <t>Cấp thuế GTGT theo TTr 2923/TCKT ngày 22/7/26 + Cấp KHCB theo TTr 2923/TCKT ngày 22/7/26</t>
        </is>
      </c>
      <c r="F55" s="18" t="inlineStr">
        <is>
          <t xml:space="preserve">VANL.HCM.NG </t>
        </is>
      </c>
    </row>
    <row r="56">
      <c r="A56" s="18" t="n">
        <v>3</v>
      </c>
      <c r="B56" s="18" t="inlineStr">
        <is>
          <t>2026-07-31</t>
        </is>
      </c>
      <c r="C56" s="18" t="inlineStr">
        <is>
          <t>7937</t>
        </is>
      </c>
      <c r="D56" s="19" t="n">
        <v>49541007713</v>
      </c>
      <c r="E56" s="20" t="inlineStr">
        <is>
          <t>Trả gốc SPC từ T7 đến T12.2025 - Cac khoan vay thuoc BRVT</t>
        </is>
      </c>
      <c r="F56" s="18" t="inlineStr">
        <is>
          <t xml:space="preserve">DIEMHTK.HCM.NG </t>
        </is>
      </c>
    </row>
    <row r="59">
      <c r="A59" s="13" t="inlineStr">
        <is>
          <t>🎯 CẶP TÀI KHOẢN: 136351 (HCM) ⇄ 336351 (Điện lực)</t>
        </is>
      </c>
    </row>
    <row r="60">
      <c r="A60" s="14" t="inlineStr">
        <is>
          <t>Chênh lệch cuối kỳ: 1.747.497.667 VNĐ</t>
        </is>
      </c>
    </row>
    <row r="61" ht="24" customHeight="1">
      <c r="A61" s="15" t="inlineStr">
        <is>
          <t>Phân tích nguyên nhân chênh lệch (1.747.497.667 VNĐ): Điện lực đã hạch toán 3 chứng từ (CT GL: 2111, 2111, 2426) nhưng phía HCM chưa hạch toán đối ứng (phía HCM bị thiếu).</t>
        </is>
      </c>
    </row>
    <row r="62" ht="24" customHeight="1"/>
    <row r="63">
      <c r="A63" s="16" t="inlineStr">
        <is>
          <t>🏛️ BÚT TOÁN HCM BỊ THIẾU (3 chứng từ)</t>
        </is>
      </c>
    </row>
    <row r="64">
      <c r="A64" s="17" t="inlineStr">
        <is>
          <t>STT</t>
        </is>
      </c>
      <c r="B64" s="17" t="inlineStr">
        <is>
          <t>Ngày CT</t>
        </is>
      </c>
      <c r="C64" s="17" t="inlineStr">
        <is>
          <t>Số CT GL</t>
        </is>
      </c>
      <c r="D64" s="17" t="inlineStr">
        <is>
          <t>Số Tiền (VNĐ)</t>
        </is>
      </c>
      <c r="E64" s="17" t="inlineStr">
        <is>
          <t>Diễn Giải Bút Toán</t>
        </is>
      </c>
      <c r="F64" s="17" t="inlineStr">
        <is>
          <t>Người Lập</t>
        </is>
      </c>
    </row>
    <row r="65">
      <c r="A65" s="18" t="n">
        <v>1</v>
      </c>
      <c r="B65" s="18" t="inlineStr">
        <is>
          <t>2026-07-29</t>
        </is>
      </c>
      <c r="C65" s="18" t="inlineStr">
        <is>
          <t>2111</t>
        </is>
      </c>
      <c r="D65" s="19" t="n">
        <v>-290152778</v>
      </c>
      <c r="E65" s="20" t="inlineStr">
        <is>
          <t>VTAD2608001_K/c CP SCL Công xa 7/2026</t>
        </is>
      </c>
      <c r="F65" s="18" t="inlineStr">
        <is>
          <t xml:space="preserve">TUAN2HM.HCM.VTA </t>
        </is>
      </c>
    </row>
    <row r="66">
      <c r="A66" s="18" t="n">
        <v>2</v>
      </c>
      <c r="B66" s="18" t="inlineStr">
        <is>
          <t>2026-07-29</t>
        </is>
      </c>
      <c r="C66" s="18" t="inlineStr">
        <is>
          <t>2111</t>
        </is>
      </c>
      <c r="D66" s="19" t="n">
        <v>-554412343</v>
      </c>
      <c r="E66" s="20" t="inlineStr">
        <is>
          <t>VTAD2606002_K/c CP SCL LBFCO,FCO,LA 7/2026</t>
        </is>
      </c>
      <c r="F66" s="18" t="inlineStr">
        <is>
          <t xml:space="preserve">TUAN2HM.HCM.VTA </t>
        </is>
      </c>
    </row>
    <row r="67">
      <c r="A67" s="18" t="n">
        <v>3</v>
      </c>
      <c r="B67" s="18" t="inlineStr">
        <is>
          <t>2026-07-31</t>
        </is>
      </c>
      <c r="C67" s="18" t="inlineStr">
        <is>
          <t>2426</t>
        </is>
      </c>
      <c r="D67" s="19" t="n">
        <v>-902932546</v>
      </c>
      <c r="E67" s="20" t="inlineStr">
        <is>
          <t>VTA2606001-SCL TU, TI Nam 2026-Dieu chinh CT2111-29.07.26</t>
        </is>
      </c>
      <c r="F67" s="18" t="inlineStr">
        <is>
          <t xml:space="preserve">TUAN2HM.HCM.VTA </t>
        </is>
      </c>
    </row>
    <row r="69">
      <c r="A69" s="16" t="inlineStr">
        <is>
          <t>🏢 BÚT TOÁN ĐIỆN LỰC BỊ THIẾU (0 chứng từ)</t>
        </is>
      </c>
    </row>
    <row r="70">
      <c r="A70" s="17" t="inlineStr">
        <is>
          <t>STT</t>
        </is>
      </c>
      <c r="B70" s="17" t="inlineStr">
        <is>
          <t>Ngày CT</t>
        </is>
      </c>
      <c r="C70" s="17" t="inlineStr">
        <is>
          <t>Số CT GL</t>
        </is>
      </c>
      <c r="D70" s="17" t="inlineStr">
        <is>
          <t>Số Tiền (VNĐ)</t>
        </is>
      </c>
      <c r="E70" s="17" t="inlineStr">
        <is>
          <t>Diễn Giải Bút Toán</t>
        </is>
      </c>
      <c r="F70" s="17" t="inlineStr">
        <is>
          <t>Người Lập</t>
        </is>
      </c>
    </row>
    <row r="71">
      <c r="A71" s="21" t="inlineStr">
        <is>
          <t>✅ Phía Điện lực đã hạch toán đầy đủ.</t>
        </is>
      </c>
    </row>
    <row r="74">
      <c r="A74" s="13" t="inlineStr">
        <is>
          <t>🎯 CẶP TÀI KHOẢN: 136352 (HCM) ⇄ 336352 (Điện lực)</t>
        </is>
      </c>
    </row>
    <row r="75">
      <c r="A75" s="14" t="inlineStr">
        <is>
          <t>Chênh lệch cuối kỳ: 15.555.384.491 VNĐ</t>
        </is>
      </c>
    </row>
    <row r="76" ht="24" customHeight="1">
      <c r="A76" s="15" t="inlineStr">
        <is>
          <t>Phân tích nguyên nhân chênh lệch (15.555.384.491 VNĐ): HCM đã hạch toán 2 chứng từ (CT GL: 7977, 7977) nhưng phía Điện lực chưa hạch toán đối ứng (phía Điện lực bị thiếu).</t>
        </is>
      </c>
    </row>
    <row r="77" ht="24" customHeight="1"/>
    <row r="78">
      <c r="A78" s="16" t="inlineStr">
        <is>
          <t>🏛️ BÚT TOÁN HCM BỊ THIẾU (0 chứng từ)</t>
        </is>
      </c>
    </row>
    <row r="79">
      <c r="A79" s="17" t="inlineStr">
        <is>
          <t>STT</t>
        </is>
      </c>
      <c r="B79" s="17" t="inlineStr">
        <is>
          <t>Ngày CT</t>
        </is>
      </c>
      <c r="C79" s="17" t="inlineStr">
        <is>
          <t>Số CT GL</t>
        </is>
      </c>
      <c r="D79" s="17" t="inlineStr">
        <is>
          <t>Số Tiền (VNĐ)</t>
        </is>
      </c>
      <c r="E79" s="17" t="inlineStr">
        <is>
          <t>Diễn Giải Bút Toán</t>
        </is>
      </c>
      <c r="F79" s="17" t="inlineStr">
        <is>
          <t>Người Lập</t>
        </is>
      </c>
    </row>
    <row r="80">
      <c r="A80" s="21" t="inlineStr">
        <is>
          <t>✅ Phía HCM đã hạch toán đầy đủ.</t>
        </is>
      </c>
    </row>
    <row r="82">
      <c r="A82" s="16" t="inlineStr">
        <is>
          <t>🏢 BÚT TOÁN ĐIỆN LỰC BỊ THIẾU (2 chứng từ)</t>
        </is>
      </c>
    </row>
    <row r="83">
      <c r="A83" s="17" t="inlineStr">
        <is>
          <t>STT</t>
        </is>
      </c>
      <c r="B83" s="17" t="inlineStr">
        <is>
          <t>Ngày CT</t>
        </is>
      </c>
      <c r="C83" s="17" t="inlineStr">
        <is>
          <t>Số CT GL</t>
        </is>
      </c>
      <c r="D83" s="17" t="inlineStr">
        <is>
          <t>Số Tiền (VNĐ)</t>
        </is>
      </c>
      <c r="E83" s="17" t="inlineStr">
        <is>
          <t>Diễn Giải Bút Toán</t>
        </is>
      </c>
      <c r="F83" s="17" t="inlineStr">
        <is>
          <t>Người Lập</t>
        </is>
      </c>
    </row>
    <row r="84">
      <c r="A84" s="18" t="n">
        <v>1</v>
      </c>
      <c r="B84" s="18" t="inlineStr">
        <is>
          <t>2026-07-31</t>
        </is>
      </c>
      <c r="C84" s="18" t="inlineStr">
        <is>
          <t>7977</t>
        </is>
      </c>
      <c r="D84" s="19" t="n">
        <v>6501103895</v>
      </c>
      <c r="E84" s="20" t="inlineStr">
        <is>
          <t>K/c chi phí khấu hao đơn vị chuyển về TCT tháng 7/2026 - vốn Vay</t>
        </is>
      </c>
      <c r="F84" s="18" t="inlineStr">
        <is>
          <t xml:space="preserve">MINHDQ.HCM.NG </t>
        </is>
      </c>
    </row>
    <row r="85">
      <c r="A85" s="18" t="n">
        <v>2</v>
      </c>
      <c r="B85" s="18" t="inlineStr">
        <is>
          <t>2026-07-31</t>
        </is>
      </c>
      <c r="C85" s="18" t="inlineStr">
        <is>
          <t>7977</t>
        </is>
      </c>
      <c r="D85" s="19" t="n">
        <v>9054280596</v>
      </c>
      <c r="E85" s="20" t="inlineStr">
        <is>
          <t>K/c chi phí khấu hao đơn vị chuyển về TCT tháng 7/2026 - vốn NS</t>
        </is>
      </c>
      <c r="F85" s="18" t="inlineStr">
        <is>
          <t xml:space="preserve">MINHDQ.HCM.NG </t>
        </is>
      </c>
    </row>
    <row r="88">
      <c r="A88" s="13" t="inlineStr">
        <is>
          <t>🎯 CẶP TÀI KHOẢN: 136358 (HCM) ⇄ 336358 (Điện lực)</t>
        </is>
      </c>
    </row>
    <row r="89">
      <c r="A89" s="14" t="inlineStr">
        <is>
          <t>Chênh lệch cuối kỳ: 1.269.718.422.875 VNĐ</t>
        </is>
      </c>
    </row>
    <row r="90" ht="24" customHeight="1">
      <c r="A90" s="15" t="inlineStr">
        <is>
          <t>Phân tích nguyên nhân chênh lệch (1.269.718.422.875 VNĐ): Phía Điện lực đã hạch toán chứng từ bù trừ chi phí điện mua nội bộ trong tháng (CT 2413: 1.235.577.272.474 VNĐ) nhưng phía HCM chưa hạch toán bù trừ đối ứng (phía HCM bị thiếu 1 chứng từ này). Các bút toán VTDD của Nam7Nh (CT 7939, 7769, 7768) và VTTB điều động 2 bên đã hạch toán đối ứng đầy đủ. Phần chênh lệch còn lại do bút toán kết chuyển công nợ T7 (CT 2429: -44.5 tỷ VNĐ) và vay tài chính SPC (CT 2449: +12.54 tỷ VNĐ) chưa đồng bộ.</t>
        </is>
      </c>
    </row>
    <row r="91" ht="24" customHeight="1"/>
    <row r="92">
      <c r="A92" s="16" t="inlineStr">
        <is>
          <t>🏛️ BÚT TOÁN HCM BỊ THIẾU (4 chứng từ)</t>
        </is>
      </c>
    </row>
    <row r="93">
      <c r="A93" s="17" t="inlineStr">
        <is>
          <t>STT</t>
        </is>
      </c>
      <c r="B93" s="17" t="inlineStr">
        <is>
          <t>Ngày CT</t>
        </is>
      </c>
      <c r="C93" s="17" t="inlineStr">
        <is>
          <t>Số CT GL</t>
        </is>
      </c>
      <c r="D93" s="17" t="inlineStr">
        <is>
          <t>Số Tiền (VNĐ)</t>
        </is>
      </c>
      <c r="E93" s="17" t="inlineStr">
        <is>
          <t>Diễn Giải Bút Toán</t>
        </is>
      </c>
      <c r="F93" s="17" t="inlineStr">
        <is>
          <t>Người Lập</t>
        </is>
      </c>
    </row>
    <row r="94">
      <c r="A94" s="18" t="n">
        <v>1</v>
      </c>
      <c r="B94" s="18" t="inlineStr">
        <is>
          <t>2026-07-31</t>
        </is>
      </c>
      <c r="C94" s="18" t="inlineStr">
        <is>
          <t>2429</t>
        </is>
      </c>
      <c r="D94" s="19" t="n">
        <v>-44500540533</v>
      </c>
      <c r="E94" s="20" t="inlineStr">
        <is>
          <t>Kết chuyển công nợ nội bộ tháng 07/2026</t>
        </is>
      </c>
      <c r="F94" s="18" t="inlineStr">
        <is>
          <t xml:space="preserve">DUYENTT.HCM.VTA </t>
        </is>
      </c>
    </row>
    <row r="95">
      <c r="A95" s="18" t="n">
        <v>2</v>
      </c>
      <c r="B95" s="18" t="inlineStr">
        <is>
          <t>2026-07-31</t>
        </is>
      </c>
      <c r="C95" s="18" t="inlineStr">
        <is>
          <t>2150</t>
        </is>
      </c>
      <c r="D95" s="19" t="n">
        <v>-2180703957</v>
      </c>
      <c r="E95" s="20" t="inlineStr">
        <is>
          <t>Kết chuyển TK635111 về TCT qua TK công nợ 336358 tháng 7/2026</t>
        </is>
      </c>
      <c r="F95" s="18" t="inlineStr">
        <is>
          <t xml:space="preserve">LINH3NTT.HCM.VTA </t>
        </is>
      </c>
    </row>
    <row r="96">
      <c r="A96" s="18" t="n">
        <v>3</v>
      </c>
      <c r="B96" s="18" t="inlineStr">
        <is>
          <t>2026-07-31</t>
        </is>
      </c>
      <c r="C96" s="18" t="inlineStr">
        <is>
          <t>2449</t>
        </is>
      </c>
      <c r="D96" s="19" t="n">
        <v>12540094089</v>
      </c>
      <c r="E96" s="20" t="inlineStr">
        <is>
          <t>Hạch toán món HCMC chuyển tiền cho SPC để hoàn trả tiền SPC vay</t>
        </is>
      </c>
      <c r="F96" s="18" t="inlineStr">
        <is>
          <t xml:space="preserve">LINH3NTT.HCM.VTA </t>
        </is>
      </c>
    </row>
    <row r="97">
      <c r="A97" s="18" t="n">
        <v>4</v>
      </c>
      <c r="B97" s="18" t="inlineStr">
        <is>
          <t>2026-07-31</t>
        </is>
      </c>
      <c r="C97" s="18" t="inlineStr">
        <is>
          <t>2413</t>
        </is>
      </c>
      <c r="D97" s="19" t="n">
        <v>-1235577272474</v>
      </c>
      <c r="E97" s="20" t="inlineStr">
        <is>
          <t>HT bù trừ chi phí điện mua nội bộ trong tháng</t>
        </is>
      </c>
      <c r="F97" s="18" t="inlineStr">
        <is>
          <t xml:space="preserve">TUAN2HM.HCM.VTA </t>
        </is>
      </c>
    </row>
    <row r="99">
      <c r="A99" s="16" t="inlineStr">
        <is>
          <t>🏢 BÚT TOÁN ĐIỆN LỰC BỊ THIẾU (0 chứng từ)</t>
        </is>
      </c>
    </row>
    <row r="100">
      <c r="A100" s="17" t="inlineStr">
        <is>
          <t>STT</t>
        </is>
      </c>
      <c r="B100" s="17" t="inlineStr">
        <is>
          <t>Ngày CT</t>
        </is>
      </c>
      <c r="C100" s="17" t="inlineStr">
        <is>
          <t>Số CT GL</t>
        </is>
      </c>
      <c r="D100" s="17" t="inlineStr">
        <is>
          <t>Số Tiền (VNĐ)</t>
        </is>
      </c>
      <c r="E100" s="17" t="inlineStr">
        <is>
          <t>Diễn Giải Bút Toán</t>
        </is>
      </c>
      <c r="F100" s="17" t="inlineStr">
        <is>
          <t>Người Lập</t>
        </is>
      </c>
    </row>
    <row r="101">
      <c r="A101" s="21" t="inlineStr">
        <is>
          <t>✅ Phía Điện lực đã hạch toán đầy đủ.</t>
        </is>
      </c>
    </row>
    <row r="104">
      <c r="A104" s="13" t="inlineStr">
        <is>
          <t>🎯 CẶP TÀI KHOẢN: 1363611 (HCM) ⇄ 3363611 (Điện lực)</t>
        </is>
      </c>
    </row>
    <row r="105">
      <c r="A105" s="14" t="inlineStr">
        <is>
          <t>Chênh lệch cuối kỳ: 2.118.534.597 VNĐ</t>
        </is>
      </c>
    </row>
    <row r="106" ht="24" customHeight="1">
      <c r="A106" s="15" t="inlineStr">
        <is>
          <t>Phân tích nguyên nhân chênh lệch (2.118.534.597 VNĐ): Điện lực đã hạch toán 1 chứng từ (CT GL: 2159) nhưng phía HCM chưa hạch toán đối ứng (phía HCM bị thiếu).</t>
        </is>
      </c>
    </row>
    <row r="107" ht="24" customHeight="1"/>
    <row r="108">
      <c r="A108" s="16" t="inlineStr">
        <is>
          <t>🏛️ BÚT TOÁN HCM BỊ THIẾU (1 chứng từ)</t>
        </is>
      </c>
    </row>
    <row r="109">
      <c r="A109" s="17" t="inlineStr">
        <is>
          <t>STT</t>
        </is>
      </c>
      <c r="B109" s="17" t="inlineStr">
        <is>
          <t>Ngày CT</t>
        </is>
      </c>
      <c r="C109" s="17" t="inlineStr">
        <is>
          <t>Số CT GL</t>
        </is>
      </c>
      <c r="D109" s="17" t="inlineStr">
        <is>
          <t>Số Tiền (VNĐ)</t>
        </is>
      </c>
      <c r="E109" s="17" t="inlineStr">
        <is>
          <t>Diễn Giải Bút Toán</t>
        </is>
      </c>
      <c r="F109" s="17" t="inlineStr">
        <is>
          <t>Người Lập</t>
        </is>
      </c>
    </row>
    <row r="110">
      <c r="A110" s="18" t="n">
        <v>1</v>
      </c>
      <c r="B110" s="18" t="inlineStr">
        <is>
          <t>2026-07-31</t>
        </is>
      </c>
      <c r="C110" s="18" t="inlineStr">
        <is>
          <t>2159</t>
        </is>
      </c>
      <c r="D110" s="19" t="n">
        <v>-2118534597</v>
      </c>
      <c r="E110" s="20" t="inlineStr">
        <is>
          <t>Kết chuyển tiền thuế GTGT Điện NLMT T03-2026</t>
        </is>
      </c>
      <c r="F110" s="18" t="inlineStr">
        <is>
          <t xml:space="preserve">THAOPTT.HCM.VTA </t>
        </is>
      </c>
    </row>
    <row r="112">
      <c r="A112" s="16" t="inlineStr">
        <is>
          <t>🏢 BÚT TOÁN ĐIỆN LỰC BỊ THIẾU (0 chứng từ)</t>
        </is>
      </c>
    </row>
    <row r="113">
      <c r="A113" s="17" t="inlineStr">
        <is>
          <t>STT</t>
        </is>
      </c>
      <c r="B113" s="17" t="inlineStr">
        <is>
          <t>Ngày CT</t>
        </is>
      </c>
      <c r="C113" s="17" t="inlineStr">
        <is>
          <t>Số CT GL</t>
        </is>
      </c>
      <c r="D113" s="17" t="inlineStr">
        <is>
          <t>Số Tiền (VNĐ)</t>
        </is>
      </c>
      <c r="E113" s="17" t="inlineStr">
        <is>
          <t>Diễn Giải Bút Toán</t>
        </is>
      </c>
      <c r="F113" s="17" t="inlineStr">
        <is>
          <t>Người Lập</t>
        </is>
      </c>
    </row>
    <row r="114">
      <c r="A114" s="21" t="inlineStr">
        <is>
          <t>✅ Phía Điện lực đã hạch toán đầy đủ.</t>
        </is>
      </c>
    </row>
    <row r="117">
      <c r="A117" s="13" t="inlineStr">
        <is>
          <t>🎯 CẶP TÀI KHOẢN: 1363613 (HCM) ⇄ 3363613 (Điện lực)</t>
        </is>
      </c>
    </row>
    <row r="118">
      <c r="A118" s="14" t="inlineStr">
        <is>
          <t>Chênh lệch cuối kỳ: 2.366.815 VNĐ</t>
        </is>
      </c>
    </row>
    <row r="119" ht="24" customHeight="1">
      <c r="A119" s="15" t="inlineStr">
        <is>
          <t>Phân tích nguyên nhân chênh lệch (2.366.815 VNĐ): Sau khi tự cấn trừ và ghép đối ứng tập chứng từ, phía HCM bị thiếu 1 chứng từ và phía Điện lực bị thiếu 1 chứng từ chưa hạch toán đối ứng đồng bộ.</t>
        </is>
      </c>
    </row>
    <row r="120" ht="24" customHeight="1"/>
    <row r="121">
      <c r="A121" s="16" t="inlineStr">
        <is>
          <t>🏛️ BÚT TOÁN HCM BỊ THIẾU (1 chứng từ)</t>
        </is>
      </c>
    </row>
    <row r="122">
      <c r="A122" s="17" t="inlineStr">
        <is>
          <t>STT</t>
        </is>
      </c>
      <c r="B122" s="17" t="inlineStr">
        <is>
          <t>Ngày CT</t>
        </is>
      </c>
      <c r="C122" s="17" t="inlineStr">
        <is>
          <t>Số CT GL</t>
        </is>
      </c>
      <c r="D122" s="17" t="inlineStr">
        <is>
          <t>Số Tiền (VNĐ)</t>
        </is>
      </c>
      <c r="E122" s="17" t="inlineStr">
        <is>
          <t>Diễn Giải Bút Toán</t>
        </is>
      </c>
      <c r="F122" s="17" t="inlineStr">
        <is>
          <t>Người Lập</t>
        </is>
      </c>
    </row>
    <row r="123">
      <c r="A123" s="18" t="n">
        <v>1</v>
      </c>
      <c r="B123" s="18" t="inlineStr">
        <is>
          <t>2026-07-02</t>
        </is>
      </c>
      <c r="C123" s="18" t="inlineStr">
        <is>
          <t>2194</t>
        </is>
      </c>
      <c r="D123" s="19" t="n">
        <v>-2366815</v>
      </c>
      <c r="E123" s="20" t="inlineStr">
        <is>
          <t>Chuyển tiền thuế GTGT đã cấp về HCMC CT23009</t>
        </is>
      </c>
      <c r="F123" s="18" t="inlineStr">
        <is>
          <t xml:space="preserve">HIENNTK.HCM.VTA </t>
        </is>
      </c>
    </row>
    <row r="125">
      <c r="A125" s="16" t="inlineStr">
        <is>
          <t>🏢 BÚT TOÁN ĐIỆN LỰC BỊ THIẾU (1 chứng từ)</t>
        </is>
      </c>
    </row>
    <row r="126">
      <c r="A126" s="17" t="inlineStr">
        <is>
          <t>STT</t>
        </is>
      </c>
      <c r="B126" s="17" t="inlineStr">
        <is>
          <t>Ngày CT</t>
        </is>
      </c>
      <c r="C126" s="17" t="inlineStr">
        <is>
          <t>Số CT GL</t>
        </is>
      </c>
      <c r="D126" s="17" t="inlineStr">
        <is>
          <t>Số Tiền (VNĐ)</t>
        </is>
      </c>
      <c r="E126" s="17" t="inlineStr">
        <is>
          <t>Diễn Giải Bút Toán</t>
        </is>
      </c>
      <c r="F126" s="17" t="inlineStr">
        <is>
          <t>Người Lập</t>
        </is>
      </c>
    </row>
    <row r="127">
      <c r="A127" s="18" t="n">
        <v>1</v>
      </c>
      <c r="B127" s="18" t="inlineStr">
        <is>
          <t>2026-07-23</t>
        </is>
      </c>
      <c r="C127" s="18" t="inlineStr">
        <is>
          <t>7896</t>
        </is>
      </c>
      <c r="D127" s="19" t="n">
        <v>849600</v>
      </c>
      <c r="E127" s="20" t="inlineStr">
        <is>
          <t>Cấp thuế GTGT theo TTr 2923/TCKT ngày 22/7/26 + Cấp KHCB theo TTr 2923/TCKT ngày 22/7/26</t>
        </is>
      </c>
      <c r="F127" s="18" t="inlineStr">
        <is>
          <t xml:space="preserve">VANL.HCM.NG </t>
        </is>
      </c>
    </row>
    <row r="130">
      <c r="A130" s="13" t="inlineStr">
        <is>
          <t>🎯 CẶP TÀI KHOẢN: 1363888 (HCM) ⇄ 3363888 (Điện lực)</t>
        </is>
      </c>
    </row>
    <row r="131">
      <c r="A131" s="14" t="inlineStr">
        <is>
          <t>Chênh lệch cuối kỳ: -9.821.257.247 VNĐ</t>
        </is>
      </c>
    </row>
    <row r="132" ht="24" customHeight="1">
      <c r="A132" s="15" t="inlineStr">
        <is>
          <t>Phân tích nguyên nhân chênh lệch: Hạch toán lệch tài khoản đối ứng (HCM ghi TK 1363888, Điện lực ghi TK 33688 số tiền -9.455.518.323 VNĐ).</t>
        </is>
      </c>
    </row>
    <row r="133" ht="24" customHeight="1"/>
    <row r="134">
      <c r="A134" s="16" t="inlineStr">
        <is>
          <t>🏛️ BÚT TOÁN HCM BỊ THIẾU (0 chứng từ)</t>
        </is>
      </c>
    </row>
    <row r="135">
      <c r="A135" s="17" t="inlineStr">
        <is>
          <t>STT</t>
        </is>
      </c>
      <c r="B135" s="17" t="inlineStr">
        <is>
          <t>Ngày CT</t>
        </is>
      </c>
      <c r="C135" s="17" t="inlineStr">
        <is>
          <t>Số CT GL</t>
        </is>
      </c>
      <c r="D135" s="17" t="inlineStr">
        <is>
          <t>Số Tiền (VNĐ)</t>
        </is>
      </c>
      <c r="E135" s="17" t="inlineStr">
        <is>
          <t>Diễn Giải Bút Toán</t>
        </is>
      </c>
      <c r="F135" s="17" t="inlineStr">
        <is>
          <t>Người Lập</t>
        </is>
      </c>
    </row>
    <row r="136">
      <c r="A136" s="21" t="inlineStr">
        <is>
          <t>✅ Phía HCM đã hạch toán đầy đủ.</t>
        </is>
      </c>
    </row>
    <row r="138">
      <c r="A138" s="16" t="inlineStr">
        <is>
          <t>🏢 BÚT TOÁN ĐIỆN LỰC BỊ THIẾU (0 chứng từ)</t>
        </is>
      </c>
    </row>
    <row r="139">
      <c r="A139" s="17" t="inlineStr">
        <is>
          <t>STT</t>
        </is>
      </c>
      <c r="B139" s="17" t="inlineStr">
        <is>
          <t>Ngày CT</t>
        </is>
      </c>
      <c r="C139" s="17" t="inlineStr">
        <is>
          <t>Số CT GL</t>
        </is>
      </c>
      <c r="D139" s="17" t="inlineStr">
        <is>
          <t>Số Tiền (VNĐ)</t>
        </is>
      </c>
      <c r="E139" s="17" t="inlineStr">
        <is>
          <t>Diễn Giải Bút Toán</t>
        </is>
      </c>
      <c r="F139" s="17" t="inlineStr">
        <is>
          <t>Người Lập</t>
        </is>
      </c>
    </row>
    <row r="140">
      <c r="A140" s="21" t="inlineStr">
        <is>
          <t>✅ Phía Điện lực đã hạch toán đầy đủ.</t>
        </is>
      </c>
    </row>
    <row r="143">
      <c r="A143" s="13" t="inlineStr">
        <is>
          <t>🎯 CẶP TÀI KHOẢN: 136391 (HCM) ⇄ 336391 (Điện lực)</t>
        </is>
      </c>
    </row>
    <row r="144">
      <c r="A144" s="14" t="inlineStr">
        <is>
          <t>Chênh lệch cuối kỳ: 2.146.794.974 VNĐ</t>
        </is>
      </c>
    </row>
    <row r="145" ht="24" customHeight="1">
      <c r="A145" s="15" t="inlineStr">
        <is>
          <t>Phân tích nguyên nhân chênh lệch (2.146.794.974 VNĐ): HCM đã hạch toán 1 chứng từ (CT GL: 7745) nhưng phía Điện lực chưa hạch toán đối ứng (phía Điện lực bị thiếu).</t>
        </is>
      </c>
    </row>
    <row r="146" ht="24" customHeight="1"/>
    <row r="147">
      <c r="A147" s="16" t="inlineStr">
        <is>
          <t>🏛️ BÚT TOÁN HCM BỊ THIẾU (0 chứng từ)</t>
        </is>
      </c>
    </row>
    <row r="148">
      <c r="A148" s="17" t="inlineStr">
        <is>
          <t>STT</t>
        </is>
      </c>
      <c r="B148" s="17" t="inlineStr">
        <is>
          <t>Ngày CT</t>
        </is>
      </c>
      <c r="C148" s="17" t="inlineStr">
        <is>
          <t>Số CT GL</t>
        </is>
      </c>
      <c r="D148" s="17" t="inlineStr">
        <is>
          <t>Số Tiền (VNĐ)</t>
        </is>
      </c>
      <c r="E148" s="17" t="inlineStr">
        <is>
          <t>Diễn Giải Bút Toán</t>
        </is>
      </c>
      <c r="F148" s="17" t="inlineStr">
        <is>
          <t>Người Lập</t>
        </is>
      </c>
    </row>
    <row r="149">
      <c r="A149" s="21" t="inlineStr">
        <is>
          <t>✅ Phía HCM đã hạch toán đầy đủ.</t>
        </is>
      </c>
    </row>
    <row r="151">
      <c r="A151" s="16" t="inlineStr">
        <is>
          <t>🏢 BÚT TOÁN ĐIỆN LỰC BỊ THIẾU (1 chứng từ)</t>
        </is>
      </c>
    </row>
    <row r="152">
      <c r="A152" s="17" t="inlineStr">
        <is>
          <t>STT</t>
        </is>
      </c>
      <c r="B152" s="17" t="inlineStr">
        <is>
          <t>Ngày CT</t>
        </is>
      </c>
      <c r="C152" s="17" t="inlineStr">
        <is>
          <t>Số CT GL</t>
        </is>
      </c>
      <c r="D152" s="17" t="inlineStr">
        <is>
          <t>Số Tiền (VNĐ)</t>
        </is>
      </c>
      <c r="E152" s="17" t="inlineStr">
        <is>
          <t>Diễn Giải Bút Toán</t>
        </is>
      </c>
      <c r="F152" s="17" t="inlineStr">
        <is>
          <t>Người Lập</t>
        </is>
      </c>
    </row>
    <row r="153">
      <c r="A153" s="18" t="n">
        <v>1</v>
      </c>
      <c r="B153" s="18" t="inlineStr">
        <is>
          <t>2026-07-31</t>
        </is>
      </c>
      <c r="C153" s="18" t="inlineStr">
        <is>
          <t>7745</t>
        </is>
      </c>
      <c r="D153" s="19" t="n">
        <v>2146794974</v>
      </c>
      <c r="E153" s="20" t="inlineStr">
        <is>
          <t>Hạch toán kết chuyển DT-CP DTT năm 2025_VT</t>
        </is>
      </c>
      <c r="F153" s="18" t="inlineStr">
        <is>
          <t xml:space="preserve">PHUONGNL.HCM.NG </t>
        </is>
      </c>
    </row>
    <row r="156">
      <c r="A156" s="13" t="inlineStr">
        <is>
          <t>🎯 CẶP TÀI KHOẢN: 13688 (HCM) ⇄ 33688 (Điện lực)</t>
        </is>
      </c>
    </row>
    <row r="157">
      <c r="A157" s="14" t="inlineStr">
        <is>
          <t>Chênh lệch cuối kỳ: 9.821.257.247 VNĐ</t>
        </is>
      </c>
    </row>
    <row r="158" ht="24" customHeight="1">
      <c r="A158" s="15" t="inlineStr">
        <is>
          <t>Phân tích nguyên nhân chênh lệch: Hạch toán lệch tài khoản đối ứng (HCM ghi TK 1363888, Điện lực ghi TK 33688 số tiền -9.455.518.323 VNĐ).</t>
        </is>
      </c>
    </row>
    <row r="159" ht="24" customHeight="1"/>
    <row r="160">
      <c r="A160" s="16" t="inlineStr">
        <is>
          <t>🏛️ BÚT TOÁN HCM BỊ THIẾU (0 chứng từ)</t>
        </is>
      </c>
    </row>
    <row r="161">
      <c r="A161" s="17" t="inlineStr">
        <is>
          <t>STT</t>
        </is>
      </c>
      <c r="B161" s="17" t="inlineStr">
        <is>
          <t>Ngày CT</t>
        </is>
      </c>
      <c r="C161" s="17" t="inlineStr">
        <is>
          <t>Số CT GL</t>
        </is>
      </c>
      <c r="D161" s="17" t="inlineStr">
        <is>
          <t>Số Tiền (VNĐ)</t>
        </is>
      </c>
      <c r="E161" s="17" t="inlineStr">
        <is>
          <t>Diễn Giải Bút Toán</t>
        </is>
      </c>
      <c r="F161" s="17" t="inlineStr">
        <is>
          <t>Người Lập</t>
        </is>
      </c>
    </row>
    <row r="162">
      <c r="A162" s="21" t="inlineStr">
        <is>
          <t>✅ Phía HCM đã hạch toán đầy đủ.</t>
        </is>
      </c>
    </row>
    <row r="164">
      <c r="A164" s="16" t="inlineStr">
        <is>
          <t>🏢 BÚT TOÁN ĐIỆN LỰC BỊ THIẾU (0 chứng từ)</t>
        </is>
      </c>
    </row>
    <row r="165">
      <c r="A165" s="17" t="inlineStr">
        <is>
          <t>STT</t>
        </is>
      </c>
      <c r="B165" s="17" t="inlineStr">
        <is>
          <t>Ngày CT</t>
        </is>
      </c>
      <c r="C165" s="17" t="inlineStr">
        <is>
          <t>Số CT GL</t>
        </is>
      </c>
      <c r="D165" s="17" t="inlineStr">
        <is>
          <t>Số Tiền (VNĐ)</t>
        </is>
      </c>
      <c r="E165" s="17" t="inlineStr">
        <is>
          <t>Diễn Giải Bút Toán</t>
        </is>
      </c>
      <c r="F165" s="17" t="inlineStr">
        <is>
          <t>Người Lập</t>
        </is>
      </c>
    </row>
    <row r="166">
      <c r="A166" s="21" t="inlineStr">
        <is>
          <t>✅ Phía Điện lực đã hạch toán đầy đủ.</t>
        </is>
      </c>
    </row>
    <row r="169">
      <c r="A169" s="13" t="inlineStr">
        <is>
          <t>🎯 CẶP TÀI KHOẢN: 13681 (HCM) ⇄ 33681 (Điện lực)</t>
        </is>
      </c>
    </row>
    <row r="170">
      <c r="A170" s="14" t="inlineStr">
        <is>
          <t>Chênh lệch cuối kỳ: -633.614.163 VNĐ</t>
        </is>
      </c>
    </row>
    <row r="171" ht="24" customHeight="1">
      <c r="A171" s="15" t="inlineStr">
        <is>
          <t>Phân tích nguyên nhân chênh lệch (-633.614.163 VNĐ): Điện lực đã hạch toán 32 chứng từ (CT GL: 2194, 2194, 2194) nhưng phía HCM chưa hạch toán đối ứng (phía HCM bị thiếu).</t>
        </is>
      </c>
    </row>
    <row r="172" ht="24" customHeight="1"/>
    <row r="173">
      <c r="A173" s="16" t="inlineStr">
        <is>
          <t>🏛️ BÚT TOÁN HCM BỊ THIẾU (32 chứng từ)</t>
        </is>
      </c>
    </row>
    <row r="174">
      <c r="A174" s="17" t="inlineStr">
        <is>
          <t>STT</t>
        </is>
      </c>
      <c r="B174" s="17" t="inlineStr">
        <is>
          <t>Ngày CT</t>
        </is>
      </c>
      <c r="C174" s="17" t="inlineStr">
        <is>
          <t>Số CT GL</t>
        </is>
      </c>
      <c r="D174" s="17" t="inlineStr">
        <is>
          <t>Số Tiền (VNĐ)</t>
        </is>
      </c>
      <c r="E174" s="17" t="inlineStr">
        <is>
          <t>Diễn Giải Bút Toán</t>
        </is>
      </c>
      <c r="F174" s="17" t="inlineStr">
        <is>
          <t>Người Lập</t>
        </is>
      </c>
    </row>
    <row r="175">
      <c r="A175" s="18" t="n">
        <v>1</v>
      </c>
      <c r="B175" s="18" t="inlineStr">
        <is>
          <t>2026-07-02</t>
        </is>
      </c>
      <c r="C175" s="18" t="inlineStr">
        <is>
          <t>2194</t>
        </is>
      </c>
      <c r="D175" s="19" t="n">
        <v>-265009971</v>
      </c>
      <c r="E175" s="20" t="inlineStr">
        <is>
          <t>Thanh toán tất toán CP CT ĐTXD - CP QLDA - CT23009</t>
        </is>
      </c>
      <c r="F175" s="18" t="inlineStr">
        <is>
          <t xml:space="preserve">LINH3NTT.HCM.VTA </t>
        </is>
      </c>
    </row>
    <row r="176">
      <c r="A176" s="18" t="n">
        <v>2</v>
      </c>
      <c r="B176" s="18" t="inlineStr">
        <is>
          <t>2026-07-02</t>
        </is>
      </c>
      <c r="C176" s="18" t="inlineStr">
        <is>
          <t>2194</t>
        </is>
      </c>
      <c r="D176" s="19" t="n">
        <v>-178745132</v>
      </c>
      <c r="E176" s="20" t="inlineStr">
        <is>
          <t>Thanh toán tất toán CP CT ĐTXD - CP QLDA - CT23018</t>
        </is>
      </c>
      <c r="F176" s="18" t="inlineStr">
        <is>
          <t xml:space="preserve">LINH3NTT.HCM.VTA </t>
        </is>
      </c>
    </row>
    <row r="177">
      <c r="A177" s="18" t="n">
        <v>3</v>
      </c>
      <c r="B177" s="18" t="inlineStr">
        <is>
          <t>2026-07-02</t>
        </is>
      </c>
      <c r="C177" s="18" t="inlineStr">
        <is>
          <t>2194</t>
        </is>
      </c>
      <c r="D177" s="19" t="n">
        <v>-312155008</v>
      </c>
      <c r="E177" s="20" t="inlineStr">
        <is>
          <t>Thanh toán tất toán CP CT ĐTXD - CPQLDA CT21002</t>
        </is>
      </c>
      <c r="F177" s="18" t="inlineStr">
        <is>
          <t xml:space="preserve">LINH3NTT.HCM.VTA </t>
        </is>
      </c>
    </row>
    <row r="178">
      <c r="A178" s="18" t="n">
        <v>4</v>
      </c>
      <c r="B178" s="18" t="inlineStr">
        <is>
          <t>2026-07-02</t>
        </is>
      </c>
      <c r="C178" s="18" t="inlineStr">
        <is>
          <t>2194</t>
        </is>
      </c>
      <c r="D178" s="19" t="n">
        <v>-308130</v>
      </c>
      <c r="E178" s="20" t="inlineStr">
        <is>
          <t>Thanh toán tất toán CP CT ĐTXD - CP bảo hiểm lưu kho ĐVTC đền tiền Vật tư A cấp - CT23009</t>
        </is>
      </c>
      <c r="F178" s="18" t="inlineStr">
        <is>
          <t xml:space="preserve">LINH3NTT.HCM.VTA </t>
        </is>
      </c>
    </row>
    <row r="179">
      <c r="A179" s="18" t="n">
        <v>5</v>
      </c>
      <c r="B179" s="18" t="inlineStr">
        <is>
          <t>2026-07-02</t>
        </is>
      </c>
      <c r="C179" s="18" t="inlineStr">
        <is>
          <t>2194</t>
        </is>
      </c>
      <c r="D179" s="19" t="n">
        <v>-603285984</v>
      </c>
      <c r="E179" s="20" t="inlineStr">
        <is>
          <t>Thanh toán tất toán CP CT ĐTXD - CPQLDA CT21017</t>
        </is>
      </c>
      <c r="F179" s="18" t="inlineStr">
        <is>
          <t xml:space="preserve">LINH3NTT.HCM.VTA </t>
        </is>
      </c>
    </row>
    <row r="180">
      <c r="A180" s="18" t="n">
        <v>6</v>
      </c>
      <c r="B180" s="18" t="inlineStr">
        <is>
          <t>2026-07-02</t>
        </is>
      </c>
      <c r="C180" s="18" t="inlineStr">
        <is>
          <t>2194</t>
        </is>
      </c>
      <c r="D180" s="19" t="n">
        <v>-1016165</v>
      </c>
      <c r="E180" s="20" t="inlineStr">
        <is>
          <t>Thanh toán tất toán CP CT ĐTXD - CP bảo hiểm lưu kho, ĐVTC đền tiền Vật tư A cấp CT21002</t>
        </is>
      </c>
      <c r="F180" s="18" t="inlineStr">
        <is>
          <t xml:space="preserve">LINH3NTT.HCM.VTA </t>
        </is>
      </c>
    </row>
    <row r="181">
      <c r="A181" s="18" t="n">
        <v>7</v>
      </c>
      <c r="B181" s="18" t="inlineStr">
        <is>
          <t>2026-07-02</t>
        </is>
      </c>
      <c r="C181" s="18" t="inlineStr">
        <is>
          <t>2194</t>
        </is>
      </c>
      <c r="D181" s="19" t="n">
        <v>-31039400</v>
      </c>
      <c r="E181" s="20" t="inlineStr">
        <is>
          <t>Thanh toán tất toán CP CT ĐTXD - CP vận chuyển - CT23009</t>
        </is>
      </c>
      <c r="F181" s="18" t="inlineStr">
        <is>
          <t xml:space="preserve">LINH3NTT.HCM.VTA </t>
        </is>
      </c>
    </row>
    <row r="182">
      <c r="A182" s="18" t="n">
        <v>8</v>
      </c>
      <c r="B182" s="18" t="inlineStr">
        <is>
          <t>2026-07-02</t>
        </is>
      </c>
      <c r="C182" s="18" t="inlineStr">
        <is>
          <t>2194</t>
        </is>
      </c>
      <c r="D182" s="19" t="n">
        <v>-48568000</v>
      </c>
      <c r="E182" s="20" t="inlineStr">
        <is>
          <t>Thanh toán tất toán CP CT ĐTXD - CP thiết bị điều chuyển từ SXKD CT21002</t>
        </is>
      </c>
      <c r="F182" s="18" t="inlineStr">
        <is>
          <t xml:space="preserve">LINH3NTT.HCM.VTA </t>
        </is>
      </c>
    </row>
    <row r="183">
      <c r="A183" s="18" t="n">
        <v>9</v>
      </c>
      <c r="B183" s="18" t="inlineStr">
        <is>
          <t>2026-07-02</t>
        </is>
      </c>
      <c r="C183" s="18" t="inlineStr">
        <is>
          <t>2194</t>
        </is>
      </c>
      <c r="D183" s="19" t="n">
        <v>-18000000</v>
      </c>
      <c r="E183" s="20" t="inlineStr">
        <is>
          <t>Thanh toán tất toán CP CT ĐTXD - CP vận chuyển - CT23018</t>
        </is>
      </c>
      <c r="F183" s="18" t="inlineStr">
        <is>
          <t xml:space="preserve">LINH3NTT.HCM.VTA </t>
        </is>
      </c>
    </row>
    <row r="184">
      <c r="A184" s="18" t="n">
        <v>10</v>
      </c>
      <c r="B184" s="18" t="inlineStr">
        <is>
          <t>2026-07-02</t>
        </is>
      </c>
      <c r="C184" s="18" t="inlineStr">
        <is>
          <t>2194</t>
        </is>
      </c>
      <c r="D184" s="19" t="n">
        <v>-125371702</v>
      </c>
      <c r="E184" s="20" t="inlineStr">
        <is>
          <t>Thanh toán chi phí CT22033</t>
        </is>
      </c>
      <c r="F184" s="18" t="inlineStr">
        <is>
          <t xml:space="preserve">HIENNTK.HCM.VTA </t>
        </is>
      </c>
    </row>
    <row r="185">
      <c r="A185" s="18" t="n">
        <v>11</v>
      </c>
      <c r="B185" s="18" t="inlineStr">
        <is>
          <t>2026-07-02</t>
        </is>
      </c>
      <c r="C185" s="18" t="inlineStr">
        <is>
          <t>2194</t>
        </is>
      </c>
      <c r="D185" s="19" t="n">
        <v>-289871682</v>
      </c>
      <c r="E185" s="20" t="inlineStr">
        <is>
          <t>Thanh toán chi phí CT23007</t>
        </is>
      </c>
      <c r="F185" s="18" t="inlineStr">
        <is>
          <t xml:space="preserve">HIENNTK.HCM.VTA </t>
        </is>
      </c>
    </row>
    <row r="186">
      <c r="A186" s="18" t="n">
        <v>12</v>
      </c>
      <c r="B186" s="18" t="inlineStr">
        <is>
          <t>2026-07-02</t>
        </is>
      </c>
      <c r="C186" s="18" t="inlineStr">
        <is>
          <t>2194</t>
        </is>
      </c>
      <c r="D186" s="19" t="n">
        <v>-275458537</v>
      </c>
      <c r="E186" s="20" t="inlineStr">
        <is>
          <t>Thanh toán chi phí CT21007</t>
        </is>
      </c>
      <c r="F186" s="18" t="inlineStr">
        <is>
          <t xml:space="preserve">HIENNTK.HCM.VTA </t>
        </is>
      </c>
    </row>
    <row r="187">
      <c r="A187" s="18" t="n">
        <v>13</v>
      </c>
      <c r="B187" s="18" t="inlineStr">
        <is>
          <t>2026-07-02</t>
        </is>
      </c>
      <c r="C187" s="18" t="inlineStr">
        <is>
          <t>2194</t>
        </is>
      </c>
      <c r="D187" s="19" t="n">
        <v>-848733059</v>
      </c>
      <c r="E187" s="20" t="inlineStr">
        <is>
          <t>Thanh toán chi phí CT20009</t>
        </is>
      </c>
      <c r="F187" s="18" t="inlineStr">
        <is>
          <t xml:space="preserve">HIENNTK.HCM.VTA </t>
        </is>
      </c>
    </row>
    <row r="188">
      <c r="A188" s="18" t="n">
        <v>14</v>
      </c>
      <c r="B188" s="18" t="inlineStr">
        <is>
          <t>2026-07-02</t>
        </is>
      </c>
      <c r="C188" s="18" t="inlineStr">
        <is>
          <t>2194</t>
        </is>
      </c>
      <c r="D188" s="19" t="n">
        <v>-240595694</v>
      </c>
      <c r="E188" s="20" t="inlineStr">
        <is>
          <t>Thanh toán chi phí CT24006</t>
        </is>
      </c>
      <c r="F188" s="18" t="inlineStr">
        <is>
          <t xml:space="preserve">HIENNTK.HCM.VTA </t>
        </is>
      </c>
    </row>
    <row r="189">
      <c r="A189" s="18" t="n">
        <v>15</v>
      </c>
      <c r="B189" s="18" t="inlineStr">
        <is>
          <t>2026-07-02</t>
        </is>
      </c>
      <c r="C189" s="18" t="inlineStr">
        <is>
          <t>2194</t>
        </is>
      </c>
      <c r="D189" s="19" t="n">
        <v>-155287323</v>
      </c>
      <c r="E189" s="20" t="inlineStr">
        <is>
          <t>Thanh toán chi phí CT21055</t>
        </is>
      </c>
      <c r="F189" s="18" t="inlineStr">
        <is>
          <t xml:space="preserve">HIENNTK.HCM.VTA </t>
        </is>
      </c>
    </row>
    <row r="190">
      <c r="A190" s="18" t="n">
        <v>16</v>
      </c>
      <c r="B190" s="18" t="inlineStr">
        <is>
          <t>2026-07-07</t>
        </is>
      </c>
      <c r="C190" s="18" t="inlineStr">
        <is>
          <t>2132</t>
        </is>
      </c>
      <c r="D190" s="19" t="n">
        <v>292565243</v>
      </c>
      <c r="E190" s="20" t="inlineStr">
        <is>
          <t>SX-25039: Nhập Vtư từ SXKD điều chuyển qua Ctr 25039-Trang TBị đóng cắt Scada</t>
        </is>
      </c>
      <c r="F190" s="18" t="inlineStr">
        <is>
          <t xml:space="preserve">THANH5DT.HCM.VTA </t>
        </is>
      </c>
    </row>
    <row r="191">
      <c r="A191" s="18" t="n">
        <v>17</v>
      </c>
      <c r="B191" s="18" t="inlineStr">
        <is>
          <t>2026-07-07</t>
        </is>
      </c>
      <c r="C191" s="18" t="inlineStr">
        <is>
          <t>2132</t>
        </is>
      </c>
      <c r="D191" s="19" t="n">
        <v>-24025976</v>
      </c>
      <c r="E191" s="20" t="inlineStr">
        <is>
          <t>25039-SX:Xuất Vtư từ Ctr Trang TBị đóng cắt Scada đ/c trả lại kho SXKD do cấp thừa</t>
        </is>
      </c>
      <c r="F191" s="18" t="inlineStr">
        <is>
          <t xml:space="preserve">THANH5DT.HCM.VTA </t>
        </is>
      </c>
    </row>
    <row r="192">
      <c r="A192" s="18" t="n">
        <v>18</v>
      </c>
      <c r="B192" s="18" t="inlineStr">
        <is>
          <t>2026-07-14</t>
        </is>
      </c>
      <c r="C192" s="18" t="inlineStr">
        <is>
          <t>2128</t>
        </is>
      </c>
      <c r="D192" s="19" t="n">
        <v>14264000</v>
      </c>
      <c r="E192" s="20" t="inlineStr">
        <is>
          <t>SX-25039: Nhập Vtư từ SXKD điều chuyển qua Ctr 25039-Trang TBị đóng cắt Scada</t>
        </is>
      </c>
      <c r="F192" s="18" t="inlineStr">
        <is>
          <t xml:space="preserve">THANH5DT.HCM.VTA </t>
        </is>
      </c>
    </row>
    <row r="193">
      <c r="A193" s="18" t="n">
        <v>19</v>
      </c>
      <c r="B193" s="18" t="inlineStr">
        <is>
          <t>2026-07-14</t>
        </is>
      </c>
      <c r="C193" s="18" t="inlineStr">
        <is>
          <t>2128</t>
        </is>
      </c>
      <c r="D193" s="19" t="n">
        <v>119133842</v>
      </c>
      <c r="E193" s="20" t="inlineStr">
        <is>
          <t>SXKD-25018:Nhập Vtư từ SXKD điều chuyển qua Ctr 25018-Tụ bù trung thế 2025</t>
        </is>
      </c>
      <c r="F193" s="18" t="inlineStr">
        <is>
          <t xml:space="preserve">THANH5DT.HCM.VTA </t>
        </is>
      </c>
    </row>
    <row r="194">
      <c r="A194" s="18" t="n">
        <v>20</v>
      </c>
      <c r="B194" s="18" t="inlineStr">
        <is>
          <t>2026-07-15</t>
        </is>
      </c>
      <c r="C194" s="18" t="inlineStr">
        <is>
          <t>2133</t>
        </is>
      </c>
      <c r="D194" s="19" t="n">
        <v>12303466</v>
      </c>
      <c r="E194" s="20" t="inlineStr">
        <is>
          <t>SX-25018:Nhập Vtư từ SXKD điều chuyển qua Ctr 25018-Tụ bù trung thế 2025</t>
        </is>
      </c>
      <c r="F194" s="18" t="inlineStr">
        <is>
          <t xml:space="preserve">THANH5DT.HCM.VTA </t>
        </is>
      </c>
    </row>
    <row r="195">
      <c r="A195" s="18" t="n">
        <v>21</v>
      </c>
      <c r="B195" s="18" t="inlineStr">
        <is>
          <t>2026-07-16</t>
        </is>
      </c>
      <c r="C195" s="18" t="inlineStr">
        <is>
          <t>2134</t>
        </is>
      </c>
      <c r="D195" s="19" t="n">
        <v>-104673235</v>
      </c>
      <c r="E195" s="20" t="inlineStr">
        <is>
          <t>25017-SX:Xuất Vtư thừa từ Ctr 25017-Lộ ra Côn Đảo điều chuyển SXKD phục vụ SCTX</t>
        </is>
      </c>
      <c r="F195" s="18" t="inlineStr">
        <is>
          <t xml:space="preserve">THANH5DT.HCM.VTA </t>
        </is>
      </c>
    </row>
    <row r="196">
      <c r="A196" s="18" t="n">
        <v>22</v>
      </c>
      <c r="B196" s="18" t="inlineStr">
        <is>
          <t>2026-07-20</t>
        </is>
      </c>
      <c r="C196" s="18" t="inlineStr">
        <is>
          <t>2129</t>
        </is>
      </c>
      <c r="D196" s="19" t="n">
        <v>91276000</v>
      </c>
      <c r="E196" s="20" t="inlineStr">
        <is>
          <t>SX-25039:Nhập Vtư từ SXKD điều chuyển cho Ctr Ctr 25039-Trang TBị đóng cắt Scada</t>
        </is>
      </c>
      <c r="F196" s="18" t="inlineStr">
        <is>
          <t xml:space="preserve">THANH5DT.HCM.VTA </t>
        </is>
      </c>
    </row>
    <row r="197">
      <c r="A197" s="18" t="n">
        <v>23</v>
      </c>
      <c r="B197" s="18" t="inlineStr">
        <is>
          <t>2026-07-21</t>
        </is>
      </c>
      <c r="C197" s="18" t="inlineStr">
        <is>
          <t>2130</t>
        </is>
      </c>
      <c r="D197" s="19" t="n">
        <v>41322000</v>
      </c>
      <c r="E197" s="20" t="inlineStr">
        <is>
          <t>SX-25018:Nhập Vtư từ SXKD điều chuyển cho Ctr 25018-Tụ bù trung thế 2025</t>
        </is>
      </c>
      <c r="F197" s="18" t="inlineStr">
        <is>
          <t xml:space="preserve">THANH5DT.HCM.VTA </t>
        </is>
      </c>
    </row>
    <row r="198">
      <c r="A198" s="18" t="n">
        <v>24</v>
      </c>
      <c r="B198" s="18" t="inlineStr">
        <is>
          <t>2026-07-21</t>
        </is>
      </c>
      <c r="C198" s="18" t="inlineStr">
        <is>
          <t>2130</t>
        </is>
      </c>
      <c r="D198" s="19" t="n">
        <v>-267630000</v>
      </c>
      <c r="E198" s="20" t="inlineStr">
        <is>
          <t>24027-SX:Xuất Vtư từ Ctr 24027- CQT Tx.Phú Mỹ để điều chuyển qua SXKD</t>
        </is>
      </c>
      <c r="F198" s="18" t="inlineStr">
        <is>
          <t xml:space="preserve">THANH5DT.HCM.VTA </t>
        </is>
      </c>
    </row>
    <row r="199">
      <c r="A199" s="18" t="n">
        <v>25</v>
      </c>
      <c r="B199" s="18" t="inlineStr">
        <is>
          <t>2026-07-22</t>
        </is>
      </c>
      <c r="C199" s="18" t="inlineStr">
        <is>
          <t>2139</t>
        </is>
      </c>
      <c r="D199" s="19" t="n">
        <v>95719600</v>
      </c>
      <c r="E199" s="20" t="inlineStr">
        <is>
          <t>SX-25039:Nhập Vtư từ SXKD điều chuyển cho Ctr 25039- Trang TBị đóng cắt Scada</t>
        </is>
      </c>
      <c r="F199" s="18" t="inlineStr">
        <is>
          <t xml:space="preserve">THANH5DT.HCM.VTA </t>
        </is>
      </c>
    </row>
    <row r="200">
      <c r="A200" s="18" t="n">
        <v>26</v>
      </c>
      <c r="B200" s="18" t="inlineStr">
        <is>
          <t>2026-07-24</t>
        </is>
      </c>
      <c r="C200" s="18" t="inlineStr">
        <is>
          <t>2127</t>
        </is>
      </c>
      <c r="D200" s="19" t="n">
        <v>51954506</v>
      </c>
      <c r="E200" s="20" t="inlineStr">
        <is>
          <t>SX-25039:Nhập Vtư từ SXKD điều chuyển cho Ctr 25039-Trang TBị đóng cắt Scada</t>
        </is>
      </c>
      <c r="F200" s="18" t="inlineStr">
        <is>
          <t xml:space="preserve">THANH5DT.HCM.VTA </t>
        </is>
      </c>
    </row>
    <row r="201">
      <c r="A201" s="18" t="n">
        <v>27</v>
      </c>
      <c r="B201" s="18" t="inlineStr">
        <is>
          <t>2026-07-24</t>
        </is>
      </c>
      <c r="C201" s="18" t="inlineStr">
        <is>
          <t>2127</t>
        </is>
      </c>
      <c r="D201" s="19" t="n">
        <v>13378750</v>
      </c>
      <c r="E201" s="20" t="inlineStr">
        <is>
          <t>SX-25039:Nhập Vtư từ SXKD điều chuyển cho Ctr 25039-Trang TBị đóng cắt Scada</t>
        </is>
      </c>
      <c r="F201" s="18" t="inlineStr">
        <is>
          <t xml:space="preserve">THANH5DT.HCM.VTA </t>
        </is>
      </c>
    </row>
    <row r="202">
      <c r="A202" s="18" t="n">
        <v>28</v>
      </c>
      <c r="B202" s="18" t="inlineStr">
        <is>
          <t>2026-07-24</t>
        </is>
      </c>
      <c r="C202" s="18" t="inlineStr">
        <is>
          <t>2127</t>
        </is>
      </c>
      <c r="D202" s="19" t="n">
        <v>-817800</v>
      </c>
      <c r="E202" s="20" t="inlineStr">
        <is>
          <t>24029-SX:Xuất Vtư Ctr 24029-Lộ ra Tân Phước đ/chuyển SXKD phục vụ SCTX</t>
        </is>
      </c>
      <c r="F202" s="18" t="inlineStr">
        <is>
          <t xml:space="preserve">THANH5DT.HCM.VTA </t>
        </is>
      </c>
    </row>
    <row r="203">
      <c r="A203" s="18" t="n">
        <v>29</v>
      </c>
      <c r="B203" s="18" t="inlineStr">
        <is>
          <t>2026-07-30</t>
        </is>
      </c>
      <c r="C203" s="18" t="inlineStr">
        <is>
          <t>2131</t>
        </is>
      </c>
      <c r="D203" s="19" t="n">
        <v>12799411</v>
      </c>
      <c r="E203" s="20" t="inlineStr">
        <is>
          <t>SX-25039:Nhập Vtư từ SXKD điều chuyển qua Ctr 25039- Trang TBị đóng cắt Scada</t>
        </is>
      </c>
      <c r="F203" s="18" t="inlineStr">
        <is>
          <t xml:space="preserve">THANH5DT.HCM.VTA </t>
        </is>
      </c>
    </row>
    <row r="204">
      <c r="A204" s="18" t="n">
        <v>30</v>
      </c>
      <c r="B204" s="18" t="inlineStr">
        <is>
          <t>2026-07-31</t>
        </is>
      </c>
      <c r="C204" s="18" t="inlineStr">
        <is>
          <t>2157</t>
        </is>
      </c>
      <c r="D204" s="19" t="n">
        <v>7962963</v>
      </c>
      <c r="E204" s="20" t="inlineStr">
        <is>
          <t>Chi phí đặt ăn công tác ĐTXD_Hóa đơn 440/21.07.26</t>
        </is>
      </c>
      <c r="F204" s="18" t="inlineStr">
        <is>
          <t xml:space="preserve">HIENNTK.HCM.VTA </t>
        </is>
      </c>
    </row>
    <row r="205">
      <c r="A205" s="18" t="n">
        <v>31</v>
      </c>
      <c r="B205" s="18" t="inlineStr">
        <is>
          <t>2026-07-31</t>
        </is>
      </c>
      <c r="C205" s="18" t="inlineStr">
        <is>
          <t>2157</t>
        </is>
      </c>
      <c r="D205" s="19" t="n">
        <v>8473850</v>
      </c>
      <c r="E205" s="20" t="inlineStr">
        <is>
          <t>Chi phí đặt ăn công tác ĐTXD_Hóa đơn 600/29.07.26</t>
        </is>
      </c>
      <c r="F205" s="18" t="inlineStr">
        <is>
          <t xml:space="preserve">HIENNTK.HCM.VTA </t>
        </is>
      </c>
    </row>
    <row r="206">
      <c r="A206" s="18" t="n">
        <v>32</v>
      </c>
      <c r="B206" s="18" t="inlineStr">
        <is>
          <t>2026-07-31</t>
        </is>
      </c>
      <c r="C206" s="18" t="inlineStr">
        <is>
          <t>2157</t>
        </is>
      </c>
      <c r="D206" s="19" t="n">
        <v>4619000</v>
      </c>
      <c r="E206" s="20" t="inlineStr">
        <is>
          <t>Chi phí đặt ăn công tác ĐTXD_Hóa đơn 2161/30.07.26</t>
        </is>
      </c>
      <c r="F206" s="18" t="inlineStr">
        <is>
          <t xml:space="preserve">HIENNTK.HCM.VTA </t>
        </is>
      </c>
    </row>
    <row r="208">
      <c r="A208" s="16" t="inlineStr">
        <is>
          <t>🏢 BÚT TOÁN ĐIỆN LỰC BỊ THIẾU (0 chứng từ)</t>
        </is>
      </c>
    </row>
    <row r="209">
      <c r="A209" s="17" t="inlineStr">
        <is>
          <t>STT</t>
        </is>
      </c>
      <c r="B209" s="17" t="inlineStr">
        <is>
          <t>Ngày CT</t>
        </is>
      </c>
      <c r="C209" s="17" t="inlineStr">
        <is>
          <t>Số CT GL</t>
        </is>
      </c>
      <c r="D209" s="17" t="inlineStr">
        <is>
          <t>Số Tiền (VNĐ)</t>
        </is>
      </c>
      <c r="E209" s="17" t="inlineStr">
        <is>
          <t>Diễn Giải Bút Toán</t>
        </is>
      </c>
      <c r="F209" s="17" t="inlineStr">
        <is>
          <t>Người Lập</t>
        </is>
      </c>
    </row>
    <row r="210">
      <c r="A210" s="21" t="inlineStr">
        <is>
          <t>✅ Phía Điện lực đã hạch toán đầy đủ.</t>
        </is>
      </c>
    </row>
  </sheetData>
  <mergeCells count="50">
    <mergeCell ref="A106:F107"/>
    <mergeCell ref="A80:F80"/>
    <mergeCell ref="A75:F75"/>
    <mergeCell ref="A118:F118"/>
    <mergeCell ref="A89:F89"/>
    <mergeCell ref="A136:F136"/>
    <mergeCell ref="A74:F74"/>
    <mergeCell ref="A105:F105"/>
    <mergeCell ref="A18:F18"/>
    <mergeCell ref="A149:F149"/>
    <mergeCell ref="A171:F172"/>
    <mergeCell ref="A101:F101"/>
    <mergeCell ref="A210:F210"/>
    <mergeCell ref="A104:F104"/>
    <mergeCell ref="A71:F71"/>
    <mergeCell ref="A5:F5"/>
    <mergeCell ref="A32:F32"/>
    <mergeCell ref="A132:F133"/>
    <mergeCell ref="A144:F144"/>
    <mergeCell ref="A61:F62"/>
    <mergeCell ref="A119:F120"/>
    <mergeCell ref="A4:F4"/>
    <mergeCell ref="A131:F131"/>
    <mergeCell ref="A140:F140"/>
    <mergeCell ref="A156:F156"/>
    <mergeCell ref="A170:F170"/>
    <mergeCell ref="A28:F28"/>
    <mergeCell ref="A6:F7"/>
    <mergeCell ref="A19:F19"/>
    <mergeCell ref="A44:F44"/>
    <mergeCell ref="A90:F91"/>
    <mergeCell ref="A117:F117"/>
    <mergeCell ref="A31:F31"/>
    <mergeCell ref="A158:F159"/>
    <mergeCell ref="A143:F143"/>
    <mergeCell ref="A130:F130"/>
    <mergeCell ref="A145:F146"/>
    <mergeCell ref="A114:F114"/>
    <mergeCell ref="A157:F157"/>
    <mergeCell ref="A59:F59"/>
    <mergeCell ref="A166:F166"/>
    <mergeCell ref="A46:F47"/>
    <mergeCell ref="A60:F60"/>
    <mergeCell ref="A169:F169"/>
    <mergeCell ref="A76:F77"/>
    <mergeCell ref="A45:F45"/>
    <mergeCell ref="A88:F88"/>
    <mergeCell ref="A162:F162"/>
    <mergeCell ref="A20:F21"/>
    <mergeCell ref="A33:F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2026-08-14T07:06:04Z</dcterms:created>
  <dcterms:modified xmlns:dcterms="http://purl.org/dc/terms/" xmlns:xsi="http://www.w3.org/2001/XMLSchema-instance" xsi:type="dcterms:W3CDTF">2026-08-14T07:06:04Z</dcterms:modified>
</cp:coreProperties>
</file>